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1" documentId="8_{583DC930-425C-4752-B226-A93B1F889125}" xr6:coauthVersionLast="47" xr6:coauthVersionMax="47" xr10:uidLastSave="{3525BEFB-A904-4A64-9628-FD053C7B89DA}"/>
  <bookViews>
    <workbookView xWindow="-100" yWindow="-100" windowWidth="21467" windowHeight="11443" activeTab="2" xr2:uid="{9DAD95FC-579A-4419-B400-C66D99E02CBD}"/>
  </bookViews>
  <sheets>
    <sheet name="Scenario Summary" sheetId="2" r:id="rId1"/>
    <sheet name="Scenario Summary 2" sheetId="3" r:id="rId2"/>
    <sheet name="WHAT IF ANALYSIS" sheetId="1" r:id="rId3"/>
  </sheets>
  <definedNames>
    <definedName name="PRICE">'WHAT IF ANALYSIS'!$B$1</definedName>
    <definedName name="PROFIT">'WHAT IF ANALYSIS'!$B$7</definedName>
    <definedName name="QTY">'WHAT IF ANALYSIS'!$A$2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6" i="1" l="1"/>
  <c r="B7" i="1" s="1"/>
  <c r="G3" i="1" l="1"/>
  <c r="J3" i="1"/>
</calcChain>
</file>

<file path=xl/sharedStrings.xml><?xml version="1.0" encoding="utf-8"?>
<sst xmlns="http://schemas.openxmlformats.org/spreadsheetml/2006/main" count="51" uniqueCount="23">
  <si>
    <t>PRICE</t>
  </si>
  <si>
    <t>QUENTITY</t>
  </si>
  <si>
    <t>TOTAL REVUNUE</t>
  </si>
  <si>
    <t>ITEM COST</t>
  </si>
  <si>
    <t>TOTAL COST</t>
  </si>
  <si>
    <t>PROFIT</t>
  </si>
  <si>
    <t>TRANSPORT COST</t>
  </si>
  <si>
    <t>$B$2</t>
  </si>
  <si>
    <t>$B$7</t>
  </si>
  <si>
    <t>WORST CASE</t>
  </si>
  <si>
    <t>Created by USER on 04-05-2026</t>
  </si>
  <si>
    <t>CURRENT</t>
  </si>
  <si>
    <t>GOOD</t>
  </si>
  <si>
    <t>VERY GOOD</t>
  </si>
  <si>
    <t>NEED IMPROVMENT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</si>
  <si>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</si>
  <si>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</si>
  <si>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</si>
  <si>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</si>
  <si>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</si>
  <si>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</si>
  <si>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</si>
  <si>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PRFOFIT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</si>
</sst>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D0A6-AEB9-4782-B679-FA0E381EDB87}">
  <sheetPr>
    <outlinePr summaryBelow="0"/>
  </sheetPr>
  <dimension ref="B1:I12"/>
  <sheetViews>
    <sheetView showGridLines="0" workbookViewId="0">
      <selection activeCell="J1" sqref="J1"/>
    </sheetView>
  </sheetViews>
  <sheetFormatPr defaultRowHeight="14.4" outlineLevelRow="1" outlineLevelCol="1" x14ac:dyDescent="0.3"/>
  <cols>
    <col min="3" max="3" width="5.8984375" bestFit="1" customWidth="1"/>
    <col min="4" max="9" width="15.5" bestFit="1" customWidth="1" outlineLevel="1"/>
  </cols>
  <sheetData>
    <row r="1" spans="2:9" ht="14.95" thickBot="1" x14ac:dyDescent="0.35"/>
    <row r="2" spans="2:9" ht="16.100000000000001" x14ac:dyDescent="0.35">
      <c r="B2" s="3" t="s">
        <v>15</v>
      </c>
      <c r="C2" s="3"/>
      <c r="D2" s="8"/>
      <c r="E2" s="8"/>
      <c r="F2" s="8"/>
      <c r="G2" s="8"/>
      <c r="H2" s="8"/>
      <c r="I2" s="8"/>
    </row>
    <row r="3" spans="2:9" ht="16.100000000000001" collapsed="1" x14ac:dyDescent="0.35">
      <c r="B3" s="2"/>
      <c r="C3" s="2"/>
      <c r="D3" s="9" t="s">
        <v>17</v>
      </c>
      <c r="E3" s="9" t="s">
        <v>9</v>
      </c>
      <c r="F3" s="9" t="s">
        <v>11</v>
      </c>
      <c r="G3" s="9" t="s">
        <v>12</v>
      </c>
      <c r="H3" s="9" t="s">
        <v>13</v>
      </c>
      <c r="I3" s="9" t="s">
        <v>14</v>
      </c>
    </row>
    <row r="4" spans="2:9" ht="21.05" hidden="1" outlineLevel="1" x14ac:dyDescent="0.3">
      <c r="B4" s="5"/>
      <c r="C4" s="5"/>
      <c r="E4" s="11" t="s">
        <v>10</v>
      </c>
      <c r="F4" s="11" t="s">
        <v>10</v>
      </c>
      <c r="G4" s="11" t="s">
        <v>10</v>
      </c>
      <c r="H4" s="11" t="s">
        <v>10</v>
      </c>
      <c r="I4" s="11" t="s">
        <v>10</v>
      </c>
    </row>
    <row r="5" spans="2:9" x14ac:dyDescent="0.3">
      <c r="B5" s="6" t="s">
        <v>16</v>
      </c>
      <c r="C5" s="6"/>
      <c r="D5" s="4"/>
      <c r="E5" s="4"/>
      <c r="F5" s="4"/>
      <c r="G5" s="4"/>
      <c r="H5" s="4"/>
      <c r="I5" s="4"/>
    </row>
    <row r="6" spans="2:9" outlineLevel="1" x14ac:dyDescent="0.3">
      <c r="B6" s="5"/>
      <c r="C6" s="5" t="s">
        <v>0</v>
      </c>
      <c r="D6">
        <v>22</v>
      </c>
      <c r="E6" s="10">
        <v>30</v>
      </c>
      <c r="F6" s="10">
        <v>32</v>
      </c>
      <c r="G6" s="10">
        <v>33</v>
      </c>
      <c r="H6" s="10">
        <v>40</v>
      </c>
      <c r="I6" s="10">
        <v>22</v>
      </c>
    </row>
    <row r="7" spans="2:9" outlineLevel="1" x14ac:dyDescent="0.3">
      <c r="B7" s="5"/>
      <c r="C7" s="5" t="s">
        <v>7</v>
      </c>
      <c r="D7">
        <v>70</v>
      </c>
      <c r="E7" s="10">
        <v>98</v>
      </c>
      <c r="F7" s="10">
        <v>100</v>
      </c>
      <c r="G7" s="10">
        <v>110</v>
      </c>
      <c r="H7" s="10">
        <v>150</v>
      </c>
      <c r="I7" s="10">
        <v>70</v>
      </c>
    </row>
    <row r="8" spans="2:9" x14ac:dyDescent="0.3">
      <c r="B8" s="6" t="s">
        <v>18</v>
      </c>
      <c r="C8" s="6"/>
      <c r="D8" s="4"/>
      <c r="E8" s="4"/>
      <c r="F8" s="4"/>
      <c r="G8" s="4"/>
      <c r="H8" s="4"/>
      <c r="I8" s="4"/>
    </row>
    <row r="9" spans="2:9" ht="14.95" outlineLevel="1" thickBot="1" x14ac:dyDescent="0.35">
      <c r="B9" s="7"/>
      <c r="C9" s="7" t="s">
        <v>8</v>
      </c>
      <c r="D9" s="1">
        <v>-80</v>
      </c>
      <c r="E9" s="1">
        <v>680</v>
      </c>
      <c r="F9" s="1">
        <v>880</v>
      </c>
      <c r="G9" s="1">
        <v>1100</v>
      </c>
      <c r="H9" s="1">
        <v>2600</v>
      </c>
      <c r="I9" s="1">
        <v>-80</v>
      </c>
    </row>
    <row r="10" spans="2:9" x14ac:dyDescent="0.3">
      <c r="B10" t="s">
        <v>19</v>
      </c>
    </row>
    <row r="11" spans="2:9" x14ac:dyDescent="0.3">
      <c r="B11" t="s">
        <v>20</v>
      </c>
    </row>
    <row r="12" spans="2:9" x14ac:dyDescent="0.3">
      <c r="B1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46E5-315A-45C1-8EBA-B9AB30A0354C}">
  <sheetPr>
    <outlinePr summaryBelow="0"/>
  </sheetPr>
  <dimension ref="B1:I12"/>
  <sheetViews>
    <sheetView showGridLines="0" workbookViewId="0"/>
  </sheetViews>
  <sheetFormatPr defaultRowHeight="14.4" outlineLevelRow="1" outlineLevelCol="1" x14ac:dyDescent="0.3"/>
  <cols>
    <col min="3" max="3" width="6.796875" bestFit="1" customWidth="1"/>
    <col min="4" max="9" width="15.5" bestFit="1" customWidth="1" outlineLevel="1"/>
  </cols>
  <sheetData>
    <row r="1" spans="2:9" ht="14.95" thickBot="1" x14ac:dyDescent="0.35"/>
    <row r="2" spans="2:9" ht="16.100000000000001" x14ac:dyDescent="0.35">
      <c r="B2" s="3" t="s">
        <v>15</v>
      </c>
      <c r="C2" s="3"/>
      <c r="D2" s="8"/>
      <c r="E2" s="8"/>
      <c r="F2" s="8"/>
      <c r="G2" s="8"/>
      <c r="H2" s="8"/>
      <c r="I2" s="8"/>
    </row>
    <row r="3" spans="2:9" ht="16.100000000000001" collapsed="1" x14ac:dyDescent="0.35">
      <c r="B3" s="2"/>
      <c r="C3" s="2"/>
      <c r="D3" s="9" t="s">
        <v>17</v>
      </c>
      <c r="E3" s="9" t="s">
        <v>9</v>
      </c>
      <c r="F3" s="9" t="s">
        <v>11</v>
      </c>
      <c r="G3" s="9" t="s">
        <v>12</v>
      </c>
      <c r="H3" s="9" t="s">
        <v>13</v>
      </c>
      <c r="I3" s="9" t="s">
        <v>14</v>
      </c>
    </row>
    <row r="4" spans="2:9" ht="21.05" hidden="1" outlineLevel="1" x14ac:dyDescent="0.3">
      <c r="B4" s="5"/>
      <c r="C4" s="5"/>
      <c r="E4" s="11" t="s">
        <v>10</v>
      </c>
      <c r="F4" s="11" t="s">
        <v>10</v>
      </c>
      <c r="G4" s="11" t="s">
        <v>10</v>
      </c>
      <c r="H4" s="11" t="s">
        <v>10</v>
      </c>
      <c r="I4" s="11" t="s">
        <v>10</v>
      </c>
    </row>
    <row r="5" spans="2:9" x14ac:dyDescent="0.3">
      <c r="B5" s="6" t="s">
        <v>16</v>
      </c>
      <c r="C5" s="6"/>
      <c r="D5" s="4"/>
      <c r="E5" s="4"/>
      <c r="F5" s="4"/>
      <c r="G5" s="4"/>
      <c r="H5" s="4"/>
      <c r="I5" s="4"/>
    </row>
    <row r="6" spans="2:9" outlineLevel="1" x14ac:dyDescent="0.3">
      <c r="B6" s="5"/>
      <c r="C6" s="5" t="s">
        <v>0</v>
      </c>
      <c r="D6">
        <v>22</v>
      </c>
      <c r="E6" s="10">
        <v>30</v>
      </c>
      <c r="F6" s="10">
        <v>32</v>
      </c>
      <c r="G6" s="10">
        <v>33</v>
      </c>
      <c r="H6" s="10">
        <v>40</v>
      </c>
      <c r="I6" s="10">
        <v>22</v>
      </c>
    </row>
    <row r="7" spans="2:9" outlineLevel="1" x14ac:dyDescent="0.3">
      <c r="B7" s="5"/>
      <c r="C7" s="5" t="s">
        <v>7</v>
      </c>
      <c r="D7">
        <v>70</v>
      </c>
      <c r="E7" s="10">
        <v>98</v>
      </c>
      <c r="F7" s="10">
        <v>100</v>
      </c>
      <c r="G7" s="10">
        <v>110</v>
      </c>
      <c r="H7" s="10">
        <v>150</v>
      </c>
      <c r="I7" s="10">
        <v>70</v>
      </c>
    </row>
    <row r="8" spans="2:9" x14ac:dyDescent="0.3">
      <c r="B8" s="6" t="s">
        <v>18</v>
      </c>
      <c r="C8" s="6"/>
      <c r="D8" s="4"/>
      <c r="E8" s="4"/>
      <c r="F8" s="4"/>
      <c r="G8" s="4"/>
      <c r="H8" s="4"/>
      <c r="I8" s="4"/>
    </row>
    <row r="9" spans="2:9" ht="14.95" outlineLevel="1" thickBot="1" x14ac:dyDescent="0.35">
      <c r="B9" s="7"/>
      <c r="C9" s="7" t="s">
        <v>5</v>
      </c>
      <c r="D9" s="1">
        <v>-80</v>
      </c>
      <c r="E9" s="1">
        <v>680</v>
      </c>
      <c r="F9" s="1">
        <v>880</v>
      </c>
      <c r="G9" s="1">
        <v>1100</v>
      </c>
      <c r="H9" s="1">
        <v>2600</v>
      </c>
      <c r="I9" s="1">
        <v>-80</v>
      </c>
    </row>
    <row r="10" spans="2:9" x14ac:dyDescent="0.3">
      <c r="B10" t="s">
        <v>19</v>
      </c>
    </row>
    <row r="11" spans="2:9" x14ac:dyDescent="0.3">
      <c r="B11" t="s">
        <v>20</v>
      </c>
    </row>
    <row r="12" spans="2:9" x14ac:dyDescent="0.3">
      <c r="B1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B1FC-5E1F-49DB-B81B-05BAD3D2894E}">
  <dimension ref="A1:J13"/>
  <sheetViews>
    <sheetView tabSelected="1" workbookViewId="0">
      <selection activeCell="L19" sqref="L19"/>
    </sheetView>
  </sheetViews>
  <sheetFormatPr defaultRowHeight="14.4" x14ac:dyDescent="0.3"/>
  <cols>
    <col min="1" max="1" width="17.296875" customWidth="1"/>
  </cols>
  <sheetData>
    <row r="1" spans="1:10" x14ac:dyDescent="0.3">
      <c r="A1" t="s">
        <v>0</v>
      </c>
      <c r="B1">
        <v>40</v>
      </c>
    </row>
    <row r="2" spans="1:10" x14ac:dyDescent="0.3">
      <c r="A2" t="s">
        <v>1</v>
      </c>
      <c r="B2">
        <v>170</v>
      </c>
      <c r="F2" t="s">
        <v>1</v>
      </c>
      <c r="G2" t="s">
        <v>22</v>
      </c>
      <c r="I2" t="s">
        <v>0</v>
      </c>
      <c r="J2" t="s">
        <v>5</v>
      </c>
    </row>
    <row r="3" spans="1:10" x14ac:dyDescent="0.3">
      <c r="A3" t="s">
        <v>2</v>
      </c>
      <c r="B3">
        <f>B1*B2</f>
        <v>6800</v>
      </c>
      <c r="F3">
        <v>170</v>
      </c>
      <c r="G3">
        <f>PROFIT</f>
        <v>3000</v>
      </c>
      <c r="I3">
        <v>40</v>
      </c>
      <c r="J3">
        <f>PROFIT</f>
        <v>3000</v>
      </c>
    </row>
    <row r="4" spans="1:10" x14ac:dyDescent="0.3">
      <c r="A4" t="s">
        <v>6</v>
      </c>
      <c r="B4">
        <f>B1/10%</f>
        <v>400</v>
      </c>
      <c r="F4">
        <v>150</v>
      </c>
      <c r="G4">
        <f t="dataTable" ref="G4:G13" dt2D="0" dtr="0" r1="B2" ca="1"/>
        <v>2600</v>
      </c>
      <c r="I4">
        <v>33</v>
      </c>
      <c r="J4">
        <f t="dataTable" ref="J4:J13" dt2D="0" dtr="0" r1="B1"/>
        <v>1880</v>
      </c>
    </row>
    <row r="5" spans="1:10" x14ac:dyDescent="0.3">
      <c r="A5" t="s">
        <v>3</v>
      </c>
      <c r="B5">
        <f>20*B2</f>
        <v>3400</v>
      </c>
      <c r="F5">
        <v>160</v>
      </c>
      <c r="G5">
        <v>2800</v>
      </c>
      <c r="I5">
        <v>38</v>
      </c>
      <c r="J5">
        <v>2680</v>
      </c>
    </row>
    <row r="6" spans="1:10" x14ac:dyDescent="0.3">
      <c r="A6" t="s">
        <v>4</v>
      </c>
      <c r="B6">
        <f>B5+B4</f>
        <v>3800</v>
      </c>
      <c r="F6">
        <v>166</v>
      </c>
      <c r="G6">
        <v>2920</v>
      </c>
      <c r="I6">
        <v>47</v>
      </c>
      <c r="J6">
        <v>4120</v>
      </c>
    </row>
    <row r="7" spans="1:10" x14ac:dyDescent="0.3">
      <c r="A7" t="s">
        <v>5</v>
      </c>
      <c r="B7">
        <f>B3-B6</f>
        <v>3000</v>
      </c>
      <c r="F7">
        <v>173</v>
      </c>
      <c r="G7">
        <v>3060</v>
      </c>
      <c r="I7">
        <v>32</v>
      </c>
      <c r="J7">
        <v>1720</v>
      </c>
    </row>
    <row r="8" spans="1:10" x14ac:dyDescent="0.3">
      <c r="F8">
        <v>177</v>
      </c>
      <c r="G8">
        <v>3140</v>
      </c>
      <c r="I8">
        <v>44</v>
      </c>
      <c r="J8">
        <v>3640</v>
      </c>
    </row>
    <row r="9" spans="1:10" x14ac:dyDescent="0.3">
      <c r="F9">
        <v>140</v>
      </c>
      <c r="G9">
        <v>2400</v>
      </c>
      <c r="I9">
        <v>50</v>
      </c>
      <c r="J9">
        <v>4600</v>
      </c>
    </row>
    <row r="10" spans="1:10" x14ac:dyDescent="0.3">
      <c r="F10">
        <v>133</v>
      </c>
      <c r="G10">
        <v>2260</v>
      </c>
      <c r="I10">
        <v>22</v>
      </c>
      <c r="J10">
        <v>120</v>
      </c>
    </row>
    <row r="11" spans="1:10" x14ac:dyDescent="0.3">
      <c r="F11">
        <v>180</v>
      </c>
      <c r="G11">
        <v>3200</v>
      </c>
      <c r="I11">
        <v>55</v>
      </c>
      <c r="J11">
        <v>5400</v>
      </c>
    </row>
    <row r="12" spans="1:10" x14ac:dyDescent="0.3">
      <c r="F12">
        <v>147</v>
      </c>
      <c r="G12">
        <v>2540</v>
      </c>
      <c r="I12">
        <v>63</v>
      </c>
      <c r="J12">
        <v>6680</v>
      </c>
    </row>
    <row r="13" spans="1:10" x14ac:dyDescent="0.3">
      <c r="F13">
        <v>180</v>
      </c>
      <c r="G13">
        <v>3200</v>
      </c>
      <c r="I13">
        <v>46</v>
      </c>
      <c r="J13">
        <v>3960</v>
      </c>
    </row>
  </sheetData>
  <scenarios current="5" show="5" sqref="B7">
    <scenario name="WORST CASE" locked="1" count="2" user="USER" comment="Created by USER on 04-05-2026">
      <inputCells r="B1" val="30"/>
      <inputCells r="B2" val="98"/>
    </scenario>
    <scenario name="CURRENT" locked="1" count="2" user="USER" comment="Created by USER on 04-05-2026">
      <inputCells r="B1" val="32"/>
      <inputCells r="B2" val="100"/>
    </scenario>
    <scenario name="GOOD" locked="1" count="2" user="USER" comment="Created by USER on 04-05-2026">
      <inputCells r="B1" val="33"/>
      <inputCells r="B2" val="110"/>
    </scenario>
    <scenario name="VERY GOOD" locked="1" count="2" user="USER" comment="Created by USER on 04-05-2026">
      <inputCells r="B1" val="40"/>
      <inputCells r="B2" val="150"/>
    </scenario>
    <scenario name="NEED IMPROVMENT" locked="1" count="2" user="USER" comment="Created by USER on 04-05-2026">
      <inputCells r="B1" val="22"/>
      <inputCells r="B2" val="70"/>
    </scenario>
    <scenario name="need improment" locked="1" count="2" user="USER" comment="Created by USER on 19-05-2026">
      <inputCells r="B1" val="40"/>
      <inputCells r="B2" val="17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Scenario Summary</vt:lpstr>
      <vt:lpstr>Scenario Summary 2</vt:lpstr>
      <vt:lpstr>WHAT IF ANALYSIS</vt:lpstr>
      <vt:lpstr>PRICE</vt:lpstr>
      <vt:lpstr>PROFIT</vt:lpstr>
      <vt:lpstr>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anshidha</dc:creator>
  <cp:lastModifiedBy>femi anshidha</cp:lastModifiedBy>
  <dcterms:created xsi:type="dcterms:W3CDTF">2026-05-04T07:11:27Z</dcterms:created>
  <dcterms:modified xsi:type="dcterms:W3CDTF">2026-06-24T07:36:04Z</dcterms:modified>
</cp:coreProperties>
</file>