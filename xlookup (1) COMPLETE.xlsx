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\excel\"/>
    </mc:Choice>
  </mc:AlternateContent>
  <xr:revisionPtr revIDLastSave="0" documentId="8_{E654EB67-8D29-4E5F-A099-AA3CE5963AEB}" xr6:coauthVersionLast="47" xr6:coauthVersionMax="47" xr10:uidLastSave="{00000000-0000-0000-0000-000000000000}"/>
  <bookViews>
    <workbookView xWindow="-110" yWindow="-110" windowWidth="19420" windowHeight="10300" tabRatio="700" firstSheet="1" activeTab="7" xr2:uid="{00000000-000D-0000-FFFF-FFFF00000000}"/>
  </bookViews>
  <sheets>
    <sheet name="Exact Match" sheetId="1" r:id="rId1"/>
    <sheet name="Not Found" sheetId="7" r:id="rId2"/>
    <sheet name="Approximate Match" sheetId="2" r:id="rId3"/>
    <sheet name="Left Lookup" sheetId="6" r:id="rId4"/>
    <sheet name="Multiple Values" sheetId="9" r:id="rId5"/>
    <sheet name="Horizontal Lookup" sheetId="10" r:id="rId6"/>
    <sheet name="Last Match" sheetId="11" r:id="rId7"/>
    <sheet name="Sheet3" sheetId="14" r:id="rId8"/>
  </sheets>
  <externalReferences>
    <externalReference r:id="rId9"/>
  </externalReferences>
  <definedNames>
    <definedName name="Table1" localSheetId="6">'[1]Multiple Lookup Tables'!$G$4:$H$9</definedName>
    <definedName name="Table1">#REF!</definedName>
    <definedName name="Table2" localSheetId="6">'[1]Multiple Lookup Tables'!$J$4:$K$6</definedName>
    <definedName name="Table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" i="11" l="1"/>
  <c r="H3" i="11"/>
  <c r="K2" i="10" a="1"/>
  <c r="K2" i="10" s="1"/>
  <c r="J3" i="9"/>
  <c r="I3" i="9"/>
  <c r="H3" i="9"/>
  <c r="I3" i="6"/>
  <c r="G4" i="2"/>
  <c r="F4" i="2"/>
  <c r="I3" i="7"/>
  <c r="I3" i="1"/>
  <c r="H3" i="1"/>
  <c r="B2" i="10" a="1"/>
  <c r="B2" i="10" s="1"/>
  <c r="H3" i="6" l="1"/>
  <c r="H3" i="7"/>
  <c r="C3" i="9" l="1" a="1"/>
  <c r="C3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<sst xmlns="http://schemas.openxmlformats.org/spreadsheetml/2006/main" count="129" uniqueCount="37">
  <si>
    <t>John</t>
  </si>
  <si>
    <t>First Name</t>
  </si>
  <si>
    <t>Last Name</t>
  </si>
  <si>
    <t>Salary</t>
  </si>
  <si>
    <t>Mark</t>
  </si>
  <si>
    <t>Richard</t>
  </si>
  <si>
    <t>James</t>
  </si>
  <si>
    <t>Smith</t>
  </si>
  <si>
    <t>Anderson</t>
  </si>
  <si>
    <t>Clark</t>
  </si>
  <si>
    <t>Lewis</t>
  </si>
  <si>
    <t>Walker</t>
  </si>
  <si>
    <t>Reed</t>
  </si>
  <si>
    <t>Lopez</t>
  </si>
  <si>
    <t>ID</t>
  </si>
  <si>
    <t>Score</t>
  </si>
  <si>
    <t>Grade</t>
  </si>
  <si>
    <t>F</t>
  </si>
  <si>
    <t>D</t>
  </si>
  <si>
    <t>C</t>
  </si>
  <si>
    <t>B</t>
  </si>
  <si>
    <t>A</t>
  </si>
  <si>
    <t>Emily</t>
  </si>
  <si>
    <t>Mia</t>
  </si>
  <si>
    <t>Jessica</t>
  </si>
  <si>
    <t>Product</t>
  </si>
  <si>
    <t>Brand</t>
  </si>
  <si>
    <t>Dell</t>
  </si>
  <si>
    <t>Logitech</t>
  </si>
  <si>
    <t>HP</t>
  </si>
  <si>
    <t>Computer</t>
  </si>
  <si>
    <t>Keyboard</t>
  </si>
  <si>
    <t>Mouse</t>
  </si>
  <si>
    <t>Printer</t>
  </si>
  <si>
    <t>reed</t>
  </si>
  <si>
    <t>BRAND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</si>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</sst>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0" borderId="4" xfId="0" applyFont="1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iels/Downloads/vlookup%20(2).xlsx" TargetMode="External"/><Relationship Id="rId1" Type="http://schemas.openxmlformats.org/officeDocument/2006/relationships/externalLinkPath" Target="/Users/Niels/Downloads/vlookup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act Match"/>
      <sheetName val="Approximate Match"/>
      <sheetName val="Vlookup Looks Right"/>
      <sheetName val="First Match"/>
      <sheetName val="Vlookup is Case-insensitive"/>
      <sheetName val="Multiple Criteria"/>
      <sheetName val="#NA error"/>
      <sheetName val="Multiple 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G4">
            <v>0</v>
          </cell>
          <cell r="H4">
            <v>0</v>
          </cell>
          <cell r="J4">
            <v>0</v>
          </cell>
          <cell r="K4">
            <v>100</v>
          </cell>
        </row>
        <row r="5">
          <cell r="G5">
            <v>2000</v>
          </cell>
          <cell r="H5">
            <v>400</v>
          </cell>
          <cell r="J5">
            <v>5000</v>
          </cell>
          <cell r="K5">
            <v>1000</v>
          </cell>
        </row>
        <row r="6">
          <cell r="G6">
            <v>4000</v>
          </cell>
          <cell r="H6">
            <v>600</v>
          </cell>
          <cell r="J6">
            <v>10000</v>
          </cell>
          <cell r="K6">
            <v>1500</v>
          </cell>
        </row>
        <row r="7">
          <cell r="G7">
            <v>6000</v>
          </cell>
          <cell r="H7">
            <v>700</v>
          </cell>
        </row>
        <row r="8">
          <cell r="G8">
            <v>8000</v>
          </cell>
          <cell r="H8">
            <v>900</v>
          </cell>
        </row>
        <row r="9">
          <cell r="G9">
            <v>10000</v>
          </cell>
          <cell r="H9">
            <v>1100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workbookViewId="0">
      <selection activeCell="I4" sqref="I4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9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14</v>
      </c>
      <c r="H2">
        <v>53</v>
      </c>
      <c r="I2">
        <v>14</v>
      </c>
    </row>
    <row r="3" spans="2:9" x14ac:dyDescent="0.35">
      <c r="B3">
        <v>72</v>
      </c>
      <c r="C3" t="s">
        <v>22</v>
      </c>
      <c r="D3" t="s">
        <v>7</v>
      </c>
      <c r="E3" s="2">
        <v>64901</v>
      </c>
      <c r="G3" s="1" t="s">
        <v>3</v>
      </c>
      <c r="H3" s="2">
        <f>_xlfn.XLOOKUP(H2,B3:B9,E3:E9)</f>
        <v>58339</v>
      </c>
      <c r="I3">
        <f>_xlfn.XLOOKUP(I2,B3:B9,E3:E9,FALSE)</f>
        <v>188657</v>
      </c>
    </row>
    <row r="4" spans="2:9" x14ac:dyDescent="0.35">
      <c r="B4">
        <v>66</v>
      </c>
      <c r="C4" t="s">
        <v>6</v>
      </c>
      <c r="D4" t="s">
        <v>8</v>
      </c>
      <c r="E4" s="2">
        <v>70855</v>
      </c>
    </row>
    <row r="5" spans="2:9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9" x14ac:dyDescent="0.35">
      <c r="B6">
        <v>30</v>
      </c>
      <c r="C6" t="s">
        <v>0</v>
      </c>
      <c r="D6" t="s">
        <v>10</v>
      </c>
      <c r="E6" s="2">
        <v>97566</v>
      </c>
    </row>
    <row r="7" spans="2:9" x14ac:dyDescent="0.35">
      <c r="B7">
        <v>53</v>
      </c>
      <c r="C7" t="s">
        <v>24</v>
      </c>
      <c r="D7" t="s">
        <v>11</v>
      </c>
      <c r="E7" s="2">
        <v>58339</v>
      </c>
    </row>
    <row r="8" spans="2:9" x14ac:dyDescent="0.35">
      <c r="B8">
        <v>56</v>
      </c>
      <c r="C8" t="s">
        <v>4</v>
      </c>
      <c r="D8" t="s">
        <v>12</v>
      </c>
      <c r="E8" s="2">
        <v>125180</v>
      </c>
    </row>
    <row r="9" spans="2:9" x14ac:dyDescent="0.35">
      <c r="B9">
        <v>79</v>
      </c>
      <c r="C9" t="s">
        <v>5</v>
      </c>
      <c r="D9" t="s">
        <v>13</v>
      </c>
      <c r="E9" s="2">
        <v>91632</v>
      </c>
    </row>
    <row r="10" spans="2:9" x14ac:dyDescent="0.35">
      <c r="E10" s="2"/>
    </row>
    <row r="11" spans="2:9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47AD-65AA-4F15-A73C-81A867F760DD}">
  <dimension ref="B2:I11"/>
  <sheetViews>
    <sheetView workbookViewId="0">
      <selection activeCell="I5" sqref="I5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9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14</v>
      </c>
      <c r="H2">
        <v>28</v>
      </c>
      <c r="I2">
        <v>31</v>
      </c>
    </row>
    <row r="3" spans="2:9" x14ac:dyDescent="0.35">
      <c r="B3">
        <v>72</v>
      </c>
      <c r="C3" t="s">
        <v>22</v>
      </c>
      <c r="D3" t="s">
        <v>7</v>
      </c>
      <c r="E3" s="2">
        <v>64901</v>
      </c>
      <c r="G3" s="1" t="s">
        <v>3</v>
      </c>
      <c r="H3" s="2" t="str">
        <f>_xlfn.XLOOKUP(H2,B3:B9,E3:E9,"Not Found")</f>
        <v>Not Found</v>
      </c>
      <c r="I3" t="str">
        <f>_xlfn.XLOOKUP(I2,B3:B9,E3:E9,"not found")</f>
        <v>not found</v>
      </c>
    </row>
    <row r="4" spans="2:9" x14ac:dyDescent="0.35">
      <c r="B4">
        <v>66</v>
      </c>
      <c r="C4" t="s">
        <v>6</v>
      </c>
      <c r="D4" t="s">
        <v>8</v>
      </c>
      <c r="E4" s="2">
        <v>70855</v>
      </c>
    </row>
    <row r="5" spans="2:9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9" x14ac:dyDescent="0.35">
      <c r="B6">
        <v>30</v>
      </c>
      <c r="C6" t="s">
        <v>0</v>
      </c>
      <c r="D6" t="s">
        <v>10</v>
      </c>
      <c r="E6" s="2">
        <v>97566</v>
      </c>
    </row>
    <row r="7" spans="2:9" x14ac:dyDescent="0.35">
      <c r="B7">
        <v>53</v>
      </c>
      <c r="C7" t="s">
        <v>24</v>
      </c>
      <c r="D7" t="s">
        <v>11</v>
      </c>
      <c r="E7" s="2">
        <v>58339</v>
      </c>
    </row>
    <row r="8" spans="2:9" x14ac:dyDescent="0.35">
      <c r="B8">
        <v>56</v>
      </c>
      <c r="C8" t="s">
        <v>4</v>
      </c>
      <c r="D8" t="s">
        <v>12</v>
      </c>
      <c r="E8" s="2">
        <v>125180</v>
      </c>
    </row>
    <row r="9" spans="2:9" x14ac:dyDescent="0.35">
      <c r="B9">
        <v>79</v>
      </c>
      <c r="C9" t="s">
        <v>5</v>
      </c>
      <c r="D9" t="s">
        <v>13</v>
      </c>
      <c r="E9" s="2">
        <v>91632</v>
      </c>
    </row>
    <row r="10" spans="2:9" x14ac:dyDescent="0.35">
      <c r="E10" s="2"/>
    </row>
    <row r="11" spans="2:9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"/>
  <sheetViews>
    <sheetView workbookViewId="0">
      <selection activeCell="G5" sqref="G5"/>
    </sheetView>
  </sheetViews>
  <sheetFormatPr defaultRowHeight="14.5" x14ac:dyDescent="0.35"/>
  <cols>
    <col min="3" max="3" width="9.26953125" customWidth="1"/>
    <col min="4" max="4" width="9.1796875" customWidth="1"/>
  </cols>
  <sheetData>
    <row r="2" spans="2:7" x14ac:dyDescent="0.35">
      <c r="B2" s="1" t="s">
        <v>15</v>
      </c>
      <c r="C2" s="1" t="s">
        <v>16</v>
      </c>
    </row>
    <row r="3" spans="2:7" x14ac:dyDescent="0.35">
      <c r="B3">
        <v>0</v>
      </c>
      <c r="C3" t="s">
        <v>17</v>
      </c>
      <c r="E3" s="1" t="s">
        <v>15</v>
      </c>
      <c r="F3">
        <v>85</v>
      </c>
      <c r="G3">
        <v>73</v>
      </c>
    </row>
    <row r="4" spans="2:7" x14ac:dyDescent="0.35">
      <c r="B4">
        <v>60</v>
      </c>
      <c r="C4" t="s">
        <v>18</v>
      </c>
      <c r="E4" s="1" t="s">
        <v>16</v>
      </c>
      <c r="F4" t="str">
        <f>_xlfn.XLOOKUP(F3,B3:B7,C3:C7,,-1)</f>
        <v>B</v>
      </c>
      <c r="G4" t="str">
        <f>_xlfn.XLOOKUP(G3,B3:B7,C3:C7,,-1)</f>
        <v>C</v>
      </c>
    </row>
    <row r="5" spans="2:7" x14ac:dyDescent="0.35">
      <c r="B5">
        <v>70</v>
      </c>
      <c r="C5" t="s">
        <v>19</v>
      </c>
    </row>
    <row r="6" spans="2:7" x14ac:dyDescent="0.35">
      <c r="B6">
        <v>80</v>
      </c>
      <c r="C6" t="s">
        <v>20</v>
      </c>
    </row>
    <row r="7" spans="2:7" x14ac:dyDescent="0.35">
      <c r="B7">
        <v>90</v>
      </c>
      <c r="C7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9E76-4FC1-4AB6-8316-31DAB4BEA350}">
  <dimension ref="B2:I11"/>
  <sheetViews>
    <sheetView workbookViewId="0">
      <selection activeCell="I4" sqref="I4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9" x14ac:dyDescent="0.35">
      <c r="B2" s="1" t="s">
        <v>14</v>
      </c>
      <c r="C2" s="1" t="s">
        <v>1</v>
      </c>
      <c r="D2" s="1" t="s">
        <v>2</v>
      </c>
      <c r="E2" s="1" t="s">
        <v>3</v>
      </c>
      <c r="G2" s="1" t="s">
        <v>2</v>
      </c>
      <c r="H2" t="s">
        <v>10</v>
      </c>
      <c r="I2" t="s">
        <v>34</v>
      </c>
    </row>
    <row r="3" spans="2:9" x14ac:dyDescent="0.35">
      <c r="B3">
        <v>72</v>
      </c>
      <c r="C3" t="s">
        <v>22</v>
      </c>
      <c r="D3" t="s">
        <v>7</v>
      </c>
      <c r="E3" s="2">
        <v>64901</v>
      </c>
      <c r="G3" s="1" t="s">
        <v>14</v>
      </c>
      <c r="H3">
        <f>_xlfn.XLOOKUP(H2,D3:D9,B3:B9)</f>
        <v>30</v>
      </c>
      <c r="I3">
        <f>_xlfn.XLOOKUP(I2,D3:D9,B3:B9)</f>
        <v>56</v>
      </c>
    </row>
    <row r="4" spans="2:9" x14ac:dyDescent="0.35">
      <c r="B4">
        <v>66</v>
      </c>
      <c r="C4" t="s">
        <v>6</v>
      </c>
      <c r="D4" t="s">
        <v>8</v>
      </c>
      <c r="E4" s="2">
        <v>70855</v>
      </c>
    </row>
    <row r="5" spans="2:9" x14ac:dyDescent="0.35">
      <c r="B5">
        <v>14</v>
      </c>
      <c r="C5" t="s">
        <v>23</v>
      </c>
      <c r="D5" t="s">
        <v>9</v>
      </c>
      <c r="E5" s="2">
        <v>188657</v>
      </c>
      <c r="G5" s="1"/>
      <c r="H5" s="2"/>
    </row>
    <row r="6" spans="2:9" x14ac:dyDescent="0.35">
      <c r="B6">
        <v>30</v>
      </c>
      <c r="C6" t="s">
        <v>0</v>
      </c>
      <c r="D6" t="s">
        <v>10</v>
      </c>
      <c r="E6" s="2">
        <v>97566</v>
      </c>
    </row>
    <row r="7" spans="2:9" x14ac:dyDescent="0.35">
      <c r="B7">
        <v>53</v>
      </c>
      <c r="C7" t="s">
        <v>24</v>
      </c>
      <c r="D7" t="s">
        <v>11</v>
      </c>
      <c r="E7" s="2">
        <v>58339</v>
      </c>
    </row>
    <row r="8" spans="2:9" x14ac:dyDescent="0.35">
      <c r="B8">
        <v>56</v>
      </c>
      <c r="C8" t="s">
        <v>4</v>
      </c>
      <c r="D8" t="s">
        <v>12</v>
      </c>
      <c r="E8" s="2">
        <v>125180</v>
      </c>
    </row>
    <row r="9" spans="2:9" x14ac:dyDescent="0.35">
      <c r="B9">
        <v>79</v>
      </c>
      <c r="C9" t="s">
        <v>5</v>
      </c>
      <c r="D9" t="s">
        <v>13</v>
      </c>
      <c r="E9" s="2">
        <v>91632</v>
      </c>
    </row>
    <row r="10" spans="2:9" x14ac:dyDescent="0.35">
      <c r="E10" s="2"/>
    </row>
    <row r="11" spans="2:9" x14ac:dyDescent="0.35">
      <c r="E11" s="2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E059-D4F5-4432-840C-E7C8F648AD1F}">
  <dimension ref="B2:J14"/>
  <sheetViews>
    <sheetView workbookViewId="0">
      <selection activeCell="J4" sqref="J4"/>
    </sheetView>
  </sheetViews>
  <sheetFormatPr defaultRowHeight="14.5" x14ac:dyDescent="0.35"/>
  <cols>
    <col min="1" max="2" width="3" customWidth="1"/>
    <col min="3" max="3" width="10.54296875" bestFit="1" customWidth="1"/>
    <col min="4" max="4" width="10.1796875" bestFit="1" customWidth="1"/>
    <col min="5" max="5" width="9.1796875" customWidth="1"/>
    <col min="6" max="6" width="4.81640625" customWidth="1"/>
    <col min="7" max="7" width="10.54296875" bestFit="1" customWidth="1"/>
    <col min="8" max="8" width="10.54296875" customWidth="1"/>
    <col min="9" max="10" width="10.26953125" customWidth="1"/>
  </cols>
  <sheetData>
    <row r="2" spans="2:10" x14ac:dyDescent="0.35">
      <c r="B2" s="1" t="s">
        <v>14</v>
      </c>
      <c r="C2" s="1" t="s">
        <v>1</v>
      </c>
      <c r="D2" s="1" t="s">
        <v>2</v>
      </c>
      <c r="E2" s="1" t="s">
        <v>3</v>
      </c>
    </row>
    <row r="3" spans="2:10" x14ac:dyDescent="0.35">
      <c r="B3" s="1">
        <v>66</v>
      </c>
      <c r="C3" t="str" cm="1">
        <f t="array" ref="C3:E3">_xlfn.XLOOKUP(B3,B6:B12,C6:E12)</f>
        <v>James</v>
      </c>
      <c r="D3" t="str">
        <v>Anderson</v>
      </c>
      <c r="E3" s="2">
        <v>70855</v>
      </c>
      <c r="G3">
        <v>53</v>
      </c>
      <c r="H3" t="str">
        <f>_xlfn.XLOOKUP(G3,B6:B12,C6:C12)</f>
        <v>Jessica</v>
      </c>
      <c r="I3" t="str">
        <f>_xlfn.XLOOKUP(G3,B6:B12,D6:D12)</f>
        <v>Walker</v>
      </c>
      <c r="J3">
        <f>_xlfn.XLOOKUP(G3,B6:B12,E6:E12)</f>
        <v>58339</v>
      </c>
    </row>
    <row r="5" spans="2:10" x14ac:dyDescent="0.35">
      <c r="B5" s="1" t="s">
        <v>14</v>
      </c>
      <c r="C5" s="1" t="s">
        <v>1</v>
      </c>
      <c r="D5" s="1" t="s">
        <v>2</v>
      </c>
      <c r="E5" s="1" t="s">
        <v>3</v>
      </c>
    </row>
    <row r="6" spans="2:10" x14ac:dyDescent="0.35">
      <c r="B6">
        <v>72</v>
      </c>
      <c r="C6" t="s">
        <v>22</v>
      </c>
      <c r="D6" t="s">
        <v>7</v>
      </c>
      <c r="E6" s="2">
        <v>64901</v>
      </c>
      <c r="G6" s="1"/>
      <c r="H6" s="2"/>
    </row>
    <row r="7" spans="2:10" x14ac:dyDescent="0.35">
      <c r="B7">
        <v>66</v>
      </c>
      <c r="C7" t="s">
        <v>6</v>
      </c>
      <c r="D7" t="s">
        <v>8</v>
      </c>
      <c r="E7" s="2">
        <v>70855</v>
      </c>
    </row>
    <row r="8" spans="2:10" x14ac:dyDescent="0.35">
      <c r="B8">
        <v>14</v>
      </c>
      <c r="C8" t="s">
        <v>23</v>
      </c>
      <c r="D8" t="s">
        <v>9</v>
      </c>
      <c r="E8" s="2">
        <v>188657</v>
      </c>
      <c r="G8" s="1"/>
      <c r="H8" s="2"/>
    </row>
    <row r="9" spans="2:10" x14ac:dyDescent="0.35">
      <c r="B9">
        <v>30</v>
      </c>
      <c r="C9" t="s">
        <v>0</v>
      </c>
      <c r="D9" t="s">
        <v>10</v>
      </c>
      <c r="E9" s="2">
        <v>97566</v>
      </c>
    </row>
    <row r="10" spans="2:10" x14ac:dyDescent="0.35">
      <c r="B10">
        <v>53</v>
      </c>
      <c r="C10" t="s">
        <v>24</v>
      </c>
      <c r="D10" t="s">
        <v>11</v>
      </c>
      <c r="E10" s="2">
        <v>58339</v>
      </c>
    </row>
    <row r="11" spans="2:10" x14ac:dyDescent="0.35">
      <c r="B11">
        <v>56</v>
      </c>
      <c r="C11" t="s">
        <v>4</v>
      </c>
      <c r="D11" t="s">
        <v>12</v>
      </c>
      <c r="E11" s="2">
        <v>125180</v>
      </c>
    </row>
    <row r="12" spans="2:10" x14ac:dyDescent="0.35">
      <c r="B12">
        <v>79</v>
      </c>
      <c r="C12" t="s">
        <v>5</v>
      </c>
      <c r="D12" t="s">
        <v>13</v>
      </c>
      <c r="E12" s="2">
        <v>91632</v>
      </c>
    </row>
    <row r="13" spans="2:10" x14ac:dyDescent="0.35">
      <c r="E13" s="2"/>
    </row>
    <row r="14" spans="2:10" x14ac:dyDescent="0.35">
      <c r="E14" s="2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46B1-2658-467E-8F8B-23AC0610F83D}">
  <dimension ref="A1:K11"/>
  <sheetViews>
    <sheetView workbookViewId="0">
      <selection activeCell="K3" sqref="K3"/>
    </sheetView>
  </sheetViews>
  <sheetFormatPr defaultRowHeight="14.5" x14ac:dyDescent="0.35"/>
  <cols>
    <col min="1" max="1" width="8.81640625" customWidth="1"/>
    <col min="2" max="2" width="9.7265625" customWidth="1"/>
    <col min="3" max="4" width="8.7265625" customWidth="1"/>
    <col min="5" max="7" width="9.7265625" customWidth="1"/>
    <col min="8" max="8" width="8.7265625" customWidth="1"/>
    <col min="9" max="9" width="8.54296875" customWidth="1"/>
  </cols>
  <sheetData>
    <row r="1" spans="1:11" x14ac:dyDescent="0.35">
      <c r="A1" s="3" t="s">
        <v>14</v>
      </c>
      <c r="B1" s="4" t="s">
        <v>25</v>
      </c>
      <c r="J1" t="s">
        <v>14</v>
      </c>
      <c r="K1" t="s">
        <v>35</v>
      </c>
    </row>
    <row r="2" spans="1:11" x14ac:dyDescent="0.35">
      <c r="A2">
        <v>104</v>
      </c>
      <c r="B2" s="5" t="str" cm="1">
        <f t="array" ref="B2:B11">_xlfn.XLOOKUP(A2:A11,E4:H4,E6:H6)</f>
        <v>Printer</v>
      </c>
      <c r="J2">
        <v>102</v>
      </c>
      <c r="K2" t="str" cm="1">
        <f t="array" ref="K2:K10">_xlfn.XLOOKUP(J2:J10,E4:H4,E5:H5)</f>
        <v>Logitech</v>
      </c>
    </row>
    <row r="3" spans="1:11" x14ac:dyDescent="0.35">
      <c r="A3">
        <v>103</v>
      </c>
      <c r="B3" s="5" t="str">
        <v>Mouse</v>
      </c>
      <c r="J3">
        <v>101</v>
      </c>
      <c r="K3" t="str">
        <v>Dell</v>
      </c>
    </row>
    <row r="4" spans="1:11" x14ac:dyDescent="0.35">
      <c r="A4">
        <v>104</v>
      </c>
      <c r="B4" s="5" t="str">
        <v>Printer</v>
      </c>
      <c r="D4" s="3" t="s">
        <v>14</v>
      </c>
      <c r="E4" s="6">
        <v>101</v>
      </c>
      <c r="F4" s="7">
        <v>102</v>
      </c>
      <c r="G4" s="7">
        <v>103</v>
      </c>
      <c r="H4" s="7">
        <v>104</v>
      </c>
      <c r="J4">
        <v>104</v>
      </c>
      <c r="K4" t="str">
        <v>HP</v>
      </c>
    </row>
    <row r="5" spans="1:11" x14ac:dyDescent="0.35">
      <c r="A5">
        <v>101</v>
      </c>
      <c r="B5" s="5" t="str">
        <v>Computer</v>
      </c>
      <c r="D5" s="8" t="s">
        <v>26</v>
      </c>
      <c r="E5" s="9" t="s">
        <v>27</v>
      </c>
      <c r="F5" s="10" t="s">
        <v>28</v>
      </c>
      <c r="G5" s="10" t="s">
        <v>28</v>
      </c>
      <c r="H5" s="10" t="s">
        <v>29</v>
      </c>
      <c r="J5">
        <v>103</v>
      </c>
      <c r="K5" t="str">
        <v>Logitech</v>
      </c>
    </row>
    <row r="6" spans="1:11" x14ac:dyDescent="0.35">
      <c r="A6">
        <v>102</v>
      </c>
      <c r="B6" s="5" t="str">
        <v>Keyboard</v>
      </c>
      <c r="D6" s="1" t="s">
        <v>25</v>
      </c>
      <c r="E6" s="5" t="s">
        <v>30</v>
      </c>
      <c r="F6" t="s">
        <v>31</v>
      </c>
      <c r="G6" t="s">
        <v>32</v>
      </c>
      <c r="H6" t="s">
        <v>33</v>
      </c>
      <c r="J6">
        <v>104</v>
      </c>
      <c r="K6" t="str">
        <v>HP</v>
      </c>
    </row>
    <row r="7" spans="1:11" x14ac:dyDescent="0.35">
      <c r="A7">
        <v>103</v>
      </c>
      <c r="B7" s="5" t="str">
        <v>Mouse</v>
      </c>
      <c r="J7">
        <v>101</v>
      </c>
      <c r="K7" t="str">
        <v>Dell</v>
      </c>
    </row>
    <row r="8" spans="1:11" x14ac:dyDescent="0.35">
      <c r="A8">
        <v>101</v>
      </c>
      <c r="B8" s="5" t="str">
        <v>Computer</v>
      </c>
      <c r="J8">
        <v>102</v>
      </c>
      <c r="K8" t="str">
        <v>Logitech</v>
      </c>
    </row>
    <row r="9" spans="1:11" x14ac:dyDescent="0.35">
      <c r="A9">
        <v>104</v>
      </c>
      <c r="B9" s="5" t="str">
        <v>Printer</v>
      </c>
      <c r="J9">
        <v>103</v>
      </c>
      <c r="K9" t="str">
        <v>Logitech</v>
      </c>
    </row>
    <row r="10" spans="1:11" x14ac:dyDescent="0.35">
      <c r="A10">
        <v>101</v>
      </c>
      <c r="B10" s="5" t="str">
        <v>Computer</v>
      </c>
      <c r="J10">
        <v>104</v>
      </c>
      <c r="K10" t="str">
        <v>HP</v>
      </c>
    </row>
    <row r="11" spans="1:11" x14ac:dyDescent="0.35">
      <c r="A11">
        <v>102</v>
      </c>
      <c r="B11" s="5" t="str">
        <v>Keyboard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DECC1-08A4-4DD6-9B1D-B461F170B104}">
  <dimension ref="B1:H11"/>
  <sheetViews>
    <sheetView workbookViewId="0">
      <selection activeCell="G3" sqref="G3"/>
    </sheetView>
  </sheetViews>
  <sheetFormatPr defaultRowHeight="14.5" x14ac:dyDescent="0.35"/>
  <cols>
    <col min="1" max="1" width="3" customWidth="1"/>
    <col min="2" max="2" width="10.54296875" bestFit="1" customWidth="1"/>
    <col min="3" max="3" width="10.1796875" bestFit="1" customWidth="1"/>
    <col min="4" max="4" width="9.1796875" customWidth="1"/>
    <col min="5" max="5" width="7.81640625" customWidth="1"/>
    <col min="6" max="6" width="10.54296875" bestFit="1" customWidth="1"/>
    <col min="7" max="7" width="10.54296875" customWidth="1"/>
    <col min="8" max="9" width="10.26953125" customWidth="1"/>
  </cols>
  <sheetData>
    <row r="1" spans="2:8" x14ac:dyDescent="0.35">
      <c r="G1" s="2">
        <f>_xlfn.XLOOKUP(G2,B3:B9,D3:D9,,,-1)</f>
        <v>125180</v>
      </c>
    </row>
    <row r="2" spans="2:8" x14ac:dyDescent="0.35">
      <c r="B2" s="1" t="s">
        <v>1</v>
      </c>
      <c r="C2" s="1" t="s">
        <v>2</v>
      </c>
      <c r="D2" s="1" t="s">
        <v>3</v>
      </c>
      <c r="F2" s="1" t="s">
        <v>1</v>
      </c>
      <c r="G2" t="s">
        <v>23</v>
      </c>
      <c r="H2" s="1" t="s">
        <v>36</v>
      </c>
    </row>
    <row r="3" spans="2:8" x14ac:dyDescent="0.35">
      <c r="B3" t="s">
        <v>22</v>
      </c>
      <c r="C3" t="s">
        <v>7</v>
      </c>
      <c r="D3" s="2">
        <v>64901</v>
      </c>
      <c r="F3" s="1" t="s">
        <v>3</v>
      </c>
      <c r="H3">
        <f>_xlfn.XLOOKUP(H2,B3:B9,D3:D9,,,-1)</f>
        <v>97566</v>
      </c>
    </row>
    <row r="4" spans="2:8" x14ac:dyDescent="0.35">
      <c r="B4" t="s">
        <v>6</v>
      </c>
      <c r="C4" t="s">
        <v>8</v>
      </c>
      <c r="D4" s="2">
        <v>70855</v>
      </c>
    </row>
    <row r="5" spans="2:8" x14ac:dyDescent="0.35">
      <c r="B5" t="s">
        <v>23</v>
      </c>
      <c r="C5" t="s">
        <v>9</v>
      </c>
      <c r="D5" s="2">
        <v>188657</v>
      </c>
      <c r="F5" s="1"/>
      <c r="G5" s="2"/>
    </row>
    <row r="6" spans="2:8" x14ac:dyDescent="0.35">
      <c r="B6" t="s">
        <v>0</v>
      </c>
      <c r="C6" t="s">
        <v>10</v>
      </c>
      <c r="D6" s="2">
        <v>97566</v>
      </c>
    </row>
    <row r="7" spans="2:8" x14ac:dyDescent="0.35">
      <c r="B7" t="s">
        <v>24</v>
      </c>
      <c r="C7" t="s">
        <v>11</v>
      </c>
      <c r="D7" s="2">
        <v>58339</v>
      </c>
    </row>
    <row r="8" spans="2:8" x14ac:dyDescent="0.35">
      <c r="B8" t="s">
        <v>23</v>
      </c>
      <c r="C8" t="s">
        <v>12</v>
      </c>
      <c r="D8" s="2">
        <v>125180</v>
      </c>
    </row>
    <row r="9" spans="2:8" x14ac:dyDescent="0.35">
      <c r="B9" t="s">
        <v>5</v>
      </c>
      <c r="C9" t="s">
        <v>13</v>
      </c>
      <c r="D9" s="2">
        <v>91632</v>
      </c>
    </row>
    <row r="10" spans="2:8" x14ac:dyDescent="0.35">
      <c r="D10" s="2"/>
    </row>
    <row r="11" spans="2:8" x14ac:dyDescent="0.35">
      <c r="D11" s="2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91CC-5A05-441C-AFBF-B74D51E9913C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Exact Match</vt:lpstr>
      <vt:lpstr>Not Found</vt:lpstr>
      <vt:lpstr>Approximate Match</vt:lpstr>
      <vt:lpstr>Left Lookup</vt:lpstr>
      <vt:lpstr>Multiple Values</vt:lpstr>
      <vt:lpstr>Horizontal Lookup</vt:lpstr>
      <vt:lpstr>Last Match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femi anshidha</cp:lastModifiedBy>
  <dcterms:created xsi:type="dcterms:W3CDTF">2013-06-17T13:17:35Z</dcterms:created>
  <dcterms:modified xsi:type="dcterms:W3CDTF">2026-05-04T15:20:49Z</dcterms:modified>
</cp:coreProperties>
</file>