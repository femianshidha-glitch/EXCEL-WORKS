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821fb78d6c3ad6/Desktop/DA/excel/"/>
    </mc:Choice>
  </mc:AlternateContent>
  <xr:revisionPtr revIDLastSave="6" documentId="8_{C8882B82-36EE-4E42-A910-A1C3232CA22B}" xr6:coauthVersionLast="47" xr6:coauthVersionMax="47" xr10:uidLastSave="{97179C3E-BE87-4E47-A837-F37D9C4D287F}"/>
  <bookViews>
    <workbookView xWindow="-100" yWindow="-100" windowWidth="21467" windowHeight="11443" activeTab="7" xr2:uid="{A23C4D6E-5A5D-4F0C-B47C-DAFC65D39210}"/>
  </bookViews>
  <sheets>
    <sheet name="january" sheetId="1" r:id="rId1"/>
    <sheet name="february" sheetId="2" r:id="rId2"/>
    <sheet name="march" sheetId="3" r:id="rId3"/>
    <sheet name="april" sheetId="4" r:id="rId4"/>
    <sheet name="consoildate" sheetId="5" r:id="rId5"/>
    <sheet name="pivot table" sheetId="6" r:id="rId6"/>
    <sheet name="Sheet7" sheetId="7" r:id="rId7"/>
    <sheet name="Sheet8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8" l="1"/>
  <c r="F4" i="8"/>
  <c r="F3" i="8" a="1"/>
  <c r="F2" i="8"/>
  <c r="F1" i="8"/>
  <c r="K5" i="7" a="1"/>
  <c r="K4" i="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<sst xmlns="http://schemas.openxmlformats.org/spreadsheetml/2006/main" count="179" uniqueCount="78">
  <si>
    <t>product</t>
  </si>
  <si>
    <t>qty</t>
  </si>
  <si>
    <t>sales</t>
  </si>
  <si>
    <t>suger</t>
  </si>
  <si>
    <t>tea</t>
  </si>
  <si>
    <t>fruits</t>
  </si>
  <si>
    <t>snacks</t>
  </si>
  <si>
    <t>drinks</t>
  </si>
  <si>
    <t>vegetable</t>
  </si>
  <si>
    <t>personal care</t>
  </si>
  <si>
    <t>baby product</t>
  </si>
  <si>
    <t>a</t>
  </si>
  <si>
    <t>b</t>
  </si>
  <si>
    <t>c</t>
  </si>
  <si>
    <t>d</t>
  </si>
  <si>
    <t>region</t>
  </si>
  <si>
    <t>north</t>
  </si>
  <si>
    <t>west</t>
  </si>
  <si>
    <t>east</t>
  </si>
  <si>
    <t>price</t>
  </si>
  <si>
    <t>Column Labels</t>
  </si>
  <si>
    <t>Grand Total</t>
  </si>
  <si>
    <t>Sum of price</t>
  </si>
  <si>
    <t>Row Labels</t>
  </si>
  <si>
    <t>address</t>
  </si>
  <si>
    <t>kerala,malappuram,manjeri,145679</t>
  </si>
  <si>
    <t>kearal,alappuzha,alappuzha,432568</t>
  </si>
  <si>
    <t>kerala,idukki,thodupuzha,345326</t>
  </si>
  <si>
    <t>kearala,ernakulam,kochi,686533</t>
  </si>
  <si>
    <t>tamilnadu,chennai,chennai,345673</t>
  </si>
  <si>
    <t>tamil nadu,mumbai,mumbai,235567</t>
  </si>
  <si>
    <t>delhi,new delhi,new delhi,234567</t>
  </si>
  <si>
    <t>bihar,patha,patha,655774</t>
  </si>
  <si>
    <t>punjab,ludhiana,ludhiana,755434</t>
  </si>
  <si>
    <t>kerala</t>
  </si>
  <si>
    <t>malappuram</t>
  </si>
  <si>
    <t>manjeri</t>
  </si>
  <si>
    <t>kearal</t>
  </si>
  <si>
    <t>alappuzha</t>
  </si>
  <si>
    <t>idukki</t>
  </si>
  <si>
    <t>thodupuzha</t>
  </si>
  <si>
    <t>kearala</t>
  </si>
  <si>
    <t>ernakulam</t>
  </si>
  <si>
    <t>kochi</t>
  </si>
  <si>
    <t>tamilnadu</t>
  </si>
  <si>
    <t>chennai</t>
  </si>
  <si>
    <t>tamil nadu</t>
  </si>
  <si>
    <t>mumbai</t>
  </si>
  <si>
    <t>delhi</t>
  </si>
  <si>
    <t>new delhi</t>
  </si>
  <si>
    <t>bihar</t>
  </si>
  <si>
    <t>patha</t>
  </si>
  <si>
    <t>punjab</t>
  </si>
  <si>
    <t>ludhiana</t>
  </si>
  <si>
    <t>k</t>
  </si>
  <si>
    <t>t</t>
  </si>
  <si>
    <t>p</t>
  </si>
  <si>
    <t>kerala90</t>
  </si>
  <si>
    <t>kearal90</t>
  </si>
  <si>
    <t>kearala90</t>
  </si>
  <si>
    <t>tamilnadu90</t>
  </si>
  <si>
    <t>tamil nadu90</t>
  </si>
  <si>
    <t>delhi90</t>
  </si>
  <si>
    <t>bihar90</t>
  </si>
  <si>
    <t>punjab90</t>
  </si>
  <si>
    <t>anu</t>
  </si>
  <si>
    <t>manu</t>
  </si>
  <si>
    <t>monu</t>
  </si>
  <si>
    <t>anu@abc.com</t>
  </si>
  <si>
    <t>manu@abc.com</t>
  </si>
  <si>
    <t>monu@abc.com</t>
  </si>
  <si>
    <t>text to colum</t>
  </si>
  <si>
    <t>flasshfill</t>
  </si>
  <si>
    <t>Column1</t>
  </si>
  <si>
    <t>Column2</t>
  </si>
  <si>
    <t>Column3</t>
  </si>
  <si>
    <t>Column4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</si>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</sst>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1.543941782409" createdVersion="8" refreshedVersion="8" minRefreshableVersion="3" recordCount="4" xr:uid="{288A2889-E116-4E92-B3B2-6849A8A2BA89}">
  <cacheSource type="worksheet">
    <worksheetSource ref="A1:C5" sheet="pivot table"/>
  </cacheSource>
  <cacheFields count="3">
    <cacheField name="product" numFmtId="0">
      <sharedItems count="4">
        <s v="a"/>
        <s v="b"/>
        <s v="c"/>
        <s v="d"/>
      </sharedItems>
    </cacheField>
    <cacheField name="region" numFmtId="0">
      <sharedItems count="3">
        <s v="north"/>
        <s v="west"/>
        <s v="east"/>
      </sharedItems>
    </cacheField>
    <cacheField name="price" numFmtId="0">
      <sharedItems containsSemiMixedTypes="0" containsString="0" containsNumber="1" containsInteger="1" minValue="23" maxValue="65" count="4">
        <n v="23"/>
        <n v="45"/>
        <n v="65"/>
        <n v="4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</r>
  <r>
    <x v="1"/>
    <x v="1"/>
    <x v="1"/>
  </r>
  <r>
    <x v="2"/>
    <x v="0"/>
    <x v="2"/>
  </r>
  <r>
    <x v="3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7DE4A-928E-4C3B-BD39-6264436B4D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3">
    <pivotField showAll="0">
      <items count="5">
        <item x="0"/>
        <item x="1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15B10-DD63-4391-AC49-7707C866C9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K11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>
      <items count="5">
        <item x="0"/>
        <item x="3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26931-E309-4DA1-BC6E-97BE16980851}" name="Table2" displayName="Table2" ref="B4:E11" totalsRowShown="0">
  <autoFilter ref="B4:E11" xr:uid="{D3326931-E309-4DA1-BC6E-97BE16980851}"/>
  <tableColumns count="4">
    <tableColumn id="1" xr3:uid="{B3ACE039-C039-43E0-A913-5D4CB3982239}" name="Column1"/>
    <tableColumn id="2" xr3:uid="{2B72C19E-77F7-43D4-B52A-CEFE0103A53C}" name="Column2"/>
    <tableColumn id="3" xr3:uid="{CB33E733-8723-4E5C-8B47-F7BE008A3BF2}" name="Column3"/>
    <tableColumn id="4" xr3:uid="{3454A6A1-978B-4DDD-93FD-F4F5B74BBAF9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onu@abc.com" TargetMode="External"/><Relationship Id="rId2" Type="http://schemas.openxmlformats.org/officeDocument/2006/relationships/hyperlink" Target="mailto:manu@abc.com" TargetMode="External"/><Relationship Id="rId1" Type="http://schemas.openxmlformats.org/officeDocument/2006/relationships/hyperlink" Target="mailto:anu@abc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AF50-4C0B-4D4C-800A-35F67F50A6B3}">
  <dimension ref="A1:C8"/>
  <sheetViews>
    <sheetView workbookViewId="0">
      <selection activeCell="E10" sqref="E10"/>
    </sheetView>
  </sheetViews>
  <sheetFormatPr defaultRowHeight="14.4" x14ac:dyDescent="0.3"/>
  <cols>
    <col min="1" max="1" width="14.699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6</v>
      </c>
      <c r="B6">
        <v>34</v>
      </c>
      <c r="C6">
        <v>3</v>
      </c>
    </row>
    <row r="7" spans="1:3" x14ac:dyDescent="0.3">
      <c r="A7" t="s">
        <v>7</v>
      </c>
      <c r="B7">
        <v>36</v>
      </c>
      <c r="C7">
        <v>4</v>
      </c>
    </row>
    <row r="8" spans="1:3" x14ac:dyDescent="0.3">
      <c r="A8" t="s">
        <v>9</v>
      </c>
      <c r="B8">
        <v>44</v>
      </c>
      <c r="C8">
        <v>2</v>
      </c>
    </row>
  </sheetData>
  <dataConsolidate>
    <dataRefs count="4">
      <dataRef ref="A1:C7" sheet="april"/>
      <dataRef ref="E1" sheet="consoildate"/>
      <dataRef ref="A1:C7" sheet="february"/>
      <dataRef ref="A1:C7" sheet="march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3598-2BA1-4A4A-AB47-B3C1A1ACBB01}">
  <dimension ref="A1:C7"/>
  <sheetViews>
    <sheetView workbookViewId="0">
      <selection activeCell="B2" sqref="B2: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6</v>
      </c>
      <c r="B6">
        <v>34</v>
      </c>
      <c r="C6">
        <v>3</v>
      </c>
    </row>
    <row r="7" spans="1:3" x14ac:dyDescent="0.3">
      <c r="A7" t="s">
        <v>7</v>
      </c>
      <c r="B7">
        <v>36</v>
      </c>
      <c r="C7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C051-F03D-43DE-94F6-3EE2E125CDA7}">
  <dimension ref="A1:C6"/>
  <sheetViews>
    <sheetView workbookViewId="0">
      <selection activeCell="B7" sqref="B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6</v>
      </c>
      <c r="B6">
        <v>34</v>
      </c>
      <c r="C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E7F8-5359-4717-B20D-12EE6475FB50}">
  <dimension ref="A1:C6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>
        <v>4</v>
      </c>
    </row>
    <row r="3" spans="1:3" x14ac:dyDescent="0.3">
      <c r="A3" t="s">
        <v>4</v>
      </c>
      <c r="B3">
        <v>20</v>
      </c>
      <c r="C3">
        <v>5</v>
      </c>
    </row>
    <row r="4" spans="1:3" x14ac:dyDescent="0.3">
      <c r="A4" t="s">
        <v>8</v>
      </c>
      <c r="B4">
        <v>10</v>
      </c>
      <c r="C4">
        <v>4</v>
      </c>
    </row>
    <row r="5" spans="1:3" x14ac:dyDescent="0.3">
      <c r="A5" t="s">
        <v>5</v>
      </c>
      <c r="B5">
        <v>30</v>
      </c>
      <c r="C5">
        <v>6</v>
      </c>
    </row>
    <row r="6" spans="1:3" x14ac:dyDescent="0.3">
      <c r="A6" t="s">
        <v>10</v>
      </c>
      <c r="B6">
        <v>14</v>
      </c>
      <c r="C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D8BB-A2AC-4489-9D66-CF4A0B8BD852}">
  <dimension ref="A1:C9"/>
  <sheetViews>
    <sheetView workbookViewId="0">
      <selection activeCell="H15" sqref="H15"/>
    </sheetView>
  </sheetViews>
  <sheetFormatPr defaultRowHeight="14.4" x14ac:dyDescent="0.3"/>
  <sheetData>
    <row r="1" spans="1:3" x14ac:dyDescent="0.3">
      <c r="B1" t="s">
        <v>1</v>
      </c>
      <c r="C1" t="s">
        <v>2</v>
      </c>
    </row>
    <row r="2" spans="1:3" x14ac:dyDescent="0.3">
      <c r="A2" t="s">
        <v>3</v>
      </c>
      <c r="B2">
        <v>120</v>
      </c>
      <c r="C2">
        <v>16</v>
      </c>
    </row>
    <row r="3" spans="1:3" x14ac:dyDescent="0.3">
      <c r="A3" t="s">
        <v>4</v>
      </c>
      <c r="B3">
        <v>80</v>
      </c>
      <c r="C3">
        <v>20</v>
      </c>
    </row>
    <row r="4" spans="1:3" x14ac:dyDescent="0.3">
      <c r="A4" t="s">
        <v>8</v>
      </c>
      <c r="B4">
        <v>40</v>
      </c>
      <c r="C4">
        <v>16</v>
      </c>
    </row>
    <row r="5" spans="1:3" x14ac:dyDescent="0.3">
      <c r="A5" t="s">
        <v>5</v>
      </c>
      <c r="B5">
        <v>120</v>
      </c>
      <c r="C5">
        <v>24</v>
      </c>
    </row>
    <row r="6" spans="1:3" x14ac:dyDescent="0.3">
      <c r="A6" t="s">
        <v>10</v>
      </c>
      <c r="B6">
        <v>14</v>
      </c>
      <c r="C6">
        <v>4</v>
      </c>
    </row>
    <row r="7" spans="1:3" x14ac:dyDescent="0.3">
      <c r="A7" t="s">
        <v>6</v>
      </c>
      <c r="B7">
        <v>102</v>
      </c>
      <c r="C7">
        <v>9</v>
      </c>
    </row>
    <row r="8" spans="1:3" x14ac:dyDescent="0.3">
      <c r="A8" t="s">
        <v>7</v>
      </c>
      <c r="B8">
        <v>72</v>
      </c>
      <c r="C8">
        <v>8</v>
      </c>
    </row>
    <row r="9" spans="1:3" x14ac:dyDescent="0.3">
      <c r="A9" t="s">
        <v>9</v>
      </c>
      <c r="B9">
        <v>44</v>
      </c>
      <c r="C9">
        <v>2</v>
      </c>
    </row>
  </sheetData>
  <dataConsolidate topLabels="1">
    <dataRefs count="6">
      <dataRef ref="A1:C6" sheet="april"/>
      <dataRef ref="E1" sheet="consoildate"/>
      <dataRef ref="E4" sheet="consoildate"/>
      <dataRef ref="A1:C7" sheet="february"/>
      <dataRef ref="A1:C8" sheet="january"/>
      <dataRef ref="A1:C6" sheet="march"/>
    </dataRefs>
  </dataConsolid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5254-B348-4C22-8AC6-48678B54A735}">
  <dimension ref="A1:K13"/>
  <sheetViews>
    <sheetView workbookViewId="0">
      <selection activeCell="K2" sqref="K2"/>
    </sheetView>
  </sheetViews>
  <sheetFormatPr defaultRowHeight="14.4" x14ac:dyDescent="0.3"/>
  <cols>
    <col min="1" max="1" width="12.5" bestFit="1" customWidth="1"/>
    <col min="2" max="2" width="11.296875" bestFit="1" customWidth="1"/>
    <col min="3" max="3" width="10.296875" customWidth="1"/>
    <col min="4" max="4" width="11.19921875" customWidth="1"/>
    <col min="5" max="5" width="12" customWidth="1"/>
    <col min="6" max="6" width="12.5" bestFit="1" customWidth="1"/>
    <col min="7" max="7" width="15.59765625" bestFit="1" customWidth="1"/>
    <col min="8" max="10" width="2.796875" bestFit="1" customWidth="1"/>
    <col min="11" max="11" width="10.3984375" bestFit="1" customWidth="1"/>
  </cols>
  <sheetData>
    <row r="1" spans="1:11" x14ac:dyDescent="0.3">
      <c r="A1" t="s">
        <v>0</v>
      </c>
      <c r="B1" t="s">
        <v>15</v>
      </c>
      <c r="C1" t="s">
        <v>19</v>
      </c>
    </row>
    <row r="2" spans="1:11" x14ac:dyDescent="0.3">
      <c r="A2" t="s">
        <v>11</v>
      </c>
      <c r="B2" t="s">
        <v>16</v>
      </c>
      <c r="C2">
        <v>23</v>
      </c>
    </row>
    <row r="3" spans="1:11" x14ac:dyDescent="0.3">
      <c r="A3" t="s">
        <v>12</v>
      </c>
      <c r="B3" t="s">
        <v>17</v>
      </c>
      <c r="C3">
        <v>45</v>
      </c>
    </row>
    <row r="4" spans="1:11" x14ac:dyDescent="0.3">
      <c r="A4" t="s">
        <v>13</v>
      </c>
      <c r="B4" t="s">
        <v>16</v>
      </c>
      <c r="C4">
        <v>65</v>
      </c>
    </row>
    <row r="5" spans="1:11" x14ac:dyDescent="0.3">
      <c r="A5" t="s">
        <v>14</v>
      </c>
      <c r="B5" t="s">
        <v>18</v>
      </c>
      <c r="C5">
        <v>43</v>
      </c>
    </row>
    <row r="6" spans="1:11" x14ac:dyDescent="0.3">
      <c r="F6" s="1" t="s">
        <v>22</v>
      </c>
      <c r="G6" s="1" t="s">
        <v>20</v>
      </c>
    </row>
    <row r="7" spans="1:11" x14ac:dyDescent="0.3">
      <c r="F7" s="1" t="s">
        <v>23</v>
      </c>
      <c r="G7" t="s">
        <v>11</v>
      </c>
      <c r="H7" t="s">
        <v>12</v>
      </c>
      <c r="I7" t="s">
        <v>13</v>
      </c>
      <c r="J7" t="s">
        <v>14</v>
      </c>
      <c r="K7" t="s">
        <v>21</v>
      </c>
    </row>
    <row r="8" spans="1:11" x14ac:dyDescent="0.3">
      <c r="F8" s="2" t="s">
        <v>18</v>
      </c>
      <c r="J8">
        <v>43</v>
      </c>
      <c r="K8">
        <v>43</v>
      </c>
    </row>
    <row r="9" spans="1:11" x14ac:dyDescent="0.3">
      <c r="A9" s="1" t="s">
        <v>23</v>
      </c>
      <c r="B9" t="s">
        <v>22</v>
      </c>
      <c r="F9" s="2" t="s">
        <v>16</v>
      </c>
      <c r="G9">
        <v>23</v>
      </c>
      <c r="I9">
        <v>65</v>
      </c>
      <c r="K9">
        <v>88</v>
      </c>
    </row>
    <row r="10" spans="1:11" x14ac:dyDescent="0.3">
      <c r="A10" s="2" t="s">
        <v>18</v>
      </c>
      <c r="B10">
        <v>43</v>
      </c>
      <c r="F10" s="2" t="s">
        <v>17</v>
      </c>
      <c r="H10">
        <v>45</v>
      </c>
      <c r="K10">
        <v>45</v>
      </c>
    </row>
    <row r="11" spans="1:11" x14ac:dyDescent="0.3">
      <c r="A11" s="2" t="s">
        <v>16</v>
      </c>
      <c r="B11">
        <v>88</v>
      </c>
      <c r="F11" s="2" t="s">
        <v>21</v>
      </c>
      <c r="G11">
        <v>23</v>
      </c>
      <c r="H11">
        <v>45</v>
      </c>
      <c r="I11">
        <v>65</v>
      </c>
      <c r="J11">
        <v>43</v>
      </c>
      <c r="K11">
        <v>176</v>
      </c>
    </row>
    <row r="12" spans="1:11" x14ac:dyDescent="0.3">
      <c r="A12" s="2" t="s">
        <v>17</v>
      </c>
      <c r="B12">
        <v>45</v>
      </c>
    </row>
    <row r="13" spans="1:11" x14ac:dyDescent="0.3">
      <c r="A13" s="2" t="s">
        <v>21</v>
      </c>
      <c r="B13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4A73-C25D-42A9-90C1-46C259CBB7AC}">
  <dimension ref="A1:N19"/>
  <sheetViews>
    <sheetView workbookViewId="0">
      <selection activeCell="E17" sqref="E17"/>
    </sheetView>
  </sheetViews>
  <sheetFormatPr defaultRowHeight="14.4" x14ac:dyDescent="0.3"/>
  <cols>
    <col min="1" max="1" width="32.69921875" customWidth="1"/>
    <col min="2" max="6" width="10.5" customWidth="1"/>
  </cols>
  <sheetData>
    <row r="1" spans="1:14" x14ac:dyDescent="0.3">
      <c r="A1" t="s">
        <v>24</v>
      </c>
      <c r="H1" t="s">
        <v>11</v>
      </c>
      <c r="I1">
        <v>90</v>
      </c>
    </row>
    <row r="2" spans="1:14" x14ac:dyDescent="0.3">
      <c r="A2" t="s">
        <v>25</v>
      </c>
      <c r="B2" t="s">
        <v>34</v>
      </c>
      <c r="C2" t="s">
        <v>35</v>
      </c>
      <c r="D2" t="s">
        <v>36</v>
      </c>
      <c r="E2">
        <v>145679</v>
      </c>
      <c r="G2" t="s">
        <v>34</v>
      </c>
      <c r="H2" t="s">
        <v>54</v>
      </c>
      <c r="I2" t="s">
        <v>57</v>
      </c>
    </row>
    <row r="3" spans="1:14" x14ac:dyDescent="0.3">
      <c r="A3" t="s">
        <v>26</v>
      </c>
      <c r="B3" t="s">
        <v>37</v>
      </c>
      <c r="C3" t="s">
        <v>38</v>
      </c>
      <c r="D3" t="s">
        <v>38</v>
      </c>
      <c r="E3">
        <v>432568</v>
      </c>
      <c r="G3" t="s">
        <v>37</v>
      </c>
      <c r="H3" t="s">
        <v>54</v>
      </c>
      <c r="I3" t="s">
        <v>58</v>
      </c>
    </row>
    <row r="4" spans="1:14" x14ac:dyDescent="0.3">
      <c r="A4" t="s">
        <v>27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34</v>
      </c>
      <c r="H4" t="s">
        <v>54</v>
      </c>
      <c r="I4" t="s">
        <v>57</v>
      </c>
      <c r="K4" t="str" cm="1">
        <f t="array" ref="K4:N4">_xlfn.TEXTSPLIT(A4,",")</f>
        <v>kerala</v>
      </c>
      <c r="L4" t="str">
        <v>idukki</v>
      </c>
      <c r="M4" t="str">
        <v>thodupuzha</v>
      </c>
      <c r="N4" t="str">
        <v>345326</v>
      </c>
    </row>
    <row r="5" spans="1:14" x14ac:dyDescent="0.3">
      <c r="A5" t="s">
        <v>28</v>
      </c>
      <c r="B5" t="s">
        <v>34</v>
      </c>
      <c r="C5" t="s">
        <v>39</v>
      </c>
      <c r="D5" t="s">
        <v>40</v>
      </c>
      <c r="E5">
        <v>345326</v>
      </c>
      <c r="G5" t="s">
        <v>41</v>
      </c>
      <c r="H5" t="s">
        <v>54</v>
      </c>
      <c r="I5" t="s">
        <v>59</v>
      </c>
      <c r="K5" t="str" cm="1">
        <f t="array" ref="K5:N5">_xlfn.TEXTSPLIT(A7,",")</f>
        <v>tamil nadu</v>
      </c>
      <c r="L5" t="str">
        <v>mumbai</v>
      </c>
      <c r="M5" t="str">
        <v>mumbai</v>
      </c>
      <c r="N5" t="str">
        <v>235567</v>
      </c>
    </row>
    <row r="6" spans="1:14" x14ac:dyDescent="0.3">
      <c r="A6" t="s">
        <v>29</v>
      </c>
      <c r="B6" t="s">
        <v>41</v>
      </c>
      <c r="C6" t="s">
        <v>42</v>
      </c>
      <c r="D6" t="s">
        <v>43</v>
      </c>
      <c r="E6">
        <v>686533</v>
      </c>
      <c r="G6" t="s">
        <v>44</v>
      </c>
      <c r="H6" t="s">
        <v>55</v>
      </c>
      <c r="I6" t="s">
        <v>60</v>
      </c>
    </row>
    <row r="7" spans="1:14" x14ac:dyDescent="0.3">
      <c r="A7" t="s">
        <v>30</v>
      </c>
      <c r="B7" t="s">
        <v>44</v>
      </c>
      <c r="C7" t="s">
        <v>45</v>
      </c>
      <c r="D7" t="s">
        <v>45</v>
      </c>
      <c r="E7">
        <v>345673</v>
      </c>
      <c r="G7" t="s">
        <v>46</v>
      </c>
      <c r="H7" t="s">
        <v>55</v>
      </c>
      <c r="I7" t="s">
        <v>61</v>
      </c>
    </row>
    <row r="8" spans="1:14" x14ac:dyDescent="0.3">
      <c r="A8" t="s">
        <v>31</v>
      </c>
      <c r="B8" t="s">
        <v>46</v>
      </c>
      <c r="C8" t="s">
        <v>47</v>
      </c>
      <c r="D8" t="s">
        <v>47</v>
      </c>
      <c r="E8">
        <v>235567</v>
      </c>
      <c r="G8" t="s">
        <v>48</v>
      </c>
      <c r="H8" t="s">
        <v>14</v>
      </c>
      <c r="I8" t="s">
        <v>62</v>
      </c>
    </row>
    <row r="9" spans="1:14" x14ac:dyDescent="0.3">
      <c r="A9" t="s">
        <v>32</v>
      </c>
      <c r="B9" t="s">
        <v>48</v>
      </c>
      <c r="C9" t="s">
        <v>49</v>
      </c>
      <c r="D9" t="s">
        <v>49</v>
      </c>
      <c r="E9">
        <v>234567</v>
      </c>
      <c r="G9" t="s">
        <v>50</v>
      </c>
      <c r="H9" t="s">
        <v>12</v>
      </c>
      <c r="I9" t="s">
        <v>63</v>
      </c>
    </row>
    <row r="10" spans="1:14" x14ac:dyDescent="0.3">
      <c r="A10" t="s">
        <v>33</v>
      </c>
      <c r="B10" t="s">
        <v>50</v>
      </c>
      <c r="C10" t="s">
        <v>51</v>
      </c>
      <c r="D10" t="s">
        <v>51</v>
      </c>
      <c r="E10">
        <v>655774</v>
      </c>
      <c r="G10" t="s">
        <v>52</v>
      </c>
      <c r="H10" t="s">
        <v>56</v>
      </c>
      <c r="I10" t="s">
        <v>64</v>
      </c>
    </row>
    <row r="11" spans="1:14" x14ac:dyDescent="0.3">
      <c r="B11" t="s">
        <v>52</v>
      </c>
      <c r="C11" t="s">
        <v>53</v>
      </c>
      <c r="D11" t="s">
        <v>53</v>
      </c>
      <c r="E11">
        <v>755434</v>
      </c>
      <c r="G11" t="s">
        <v>72</v>
      </c>
    </row>
    <row r="12" spans="1:14" x14ac:dyDescent="0.3">
      <c r="A12" t="s">
        <v>71</v>
      </c>
    </row>
    <row r="17" spans="2:3" x14ac:dyDescent="0.3">
      <c r="B17" t="s">
        <v>65</v>
      </c>
      <c r="C17" s="3" t="s">
        <v>68</v>
      </c>
    </row>
    <row r="18" spans="2:3" x14ac:dyDescent="0.3">
      <c r="B18" t="s">
        <v>66</v>
      </c>
      <c r="C18" s="3" t="s">
        <v>69</v>
      </c>
    </row>
    <row r="19" spans="2:3" x14ac:dyDescent="0.3">
      <c r="B19" t="s">
        <v>67</v>
      </c>
      <c r="C19" s="3" t="s">
        <v>70</v>
      </c>
    </row>
  </sheetData>
  <hyperlinks>
    <hyperlink ref="C17" r:id="rId1" xr:uid="{9AE0641E-28B6-4ADA-81F4-73A7650DBB7D}"/>
    <hyperlink ref="C18" r:id="rId2" xr:uid="{BBBA5292-9DB7-4149-A9F9-28A31106C9F5}"/>
    <hyperlink ref="C19" r:id="rId3" xr:uid="{FA2C91B7-A005-4C75-A3D0-35DC11F7062B}"/>
  </hyperlinks>
  <pageMargins left="0.7" right="0.7" top="0.75" bottom="0.75" header="0.3" footer="0.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7553-DC9F-4EFE-8742-4CE7EB9A74B4}">
  <dimension ref="A1:I9"/>
  <sheetViews>
    <sheetView tabSelected="1" topLeftCell="E1" zoomScale="108" workbookViewId="0">
      <selection activeCell="E2" sqref="E2"/>
    </sheetView>
  </sheetViews>
  <sheetFormatPr defaultRowHeight="14.4" x14ac:dyDescent="0.3"/>
  <cols>
    <col min="2" max="2" width="11.796875" customWidth="1"/>
    <col min="6" max="6" width="28.8984375" customWidth="1"/>
  </cols>
  <sheetData>
    <row r="1" spans="1:9" x14ac:dyDescent="0.3">
      <c r="A1" t="s">
        <v>34</v>
      </c>
      <c r="B1" t="s">
        <v>35</v>
      </c>
      <c r="C1" t="s">
        <v>36</v>
      </c>
      <c r="D1">
        <v>145679</v>
      </c>
      <c r="F1" t="str">
        <f>_xlfn.CONCAT(A1:D1)</f>
        <v>keralamalappurammanjeri145679</v>
      </c>
    </row>
    <row r="2" spans="1:9" x14ac:dyDescent="0.3">
      <c r="A2" t="s">
        <v>37</v>
      </c>
      <c r="B2" t="s">
        <v>38</v>
      </c>
      <c r="C2" t="s">
        <v>38</v>
      </c>
      <c r="D2">
        <v>432568</v>
      </c>
      <c r="F2" t="str">
        <f>CONCATENATE(A1,B1,C1,D1)</f>
        <v>keralamalappurammanjeri145679</v>
      </c>
    </row>
    <row r="3" spans="1:9" x14ac:dyDescent="0.3">
      <c r="A3" t="s">
        <v>34</v>
      </c>
      <c r="B3" t="s">
        <v>39</v>
      </c>
      <c r="C3" t="s">
        <v>40</v>
      </c>
      <c r="D3">
        <v>345326</v>
      </c>
      <c r="F3" t="str" cm="1">
        <f t="array" ref="F3:I3">CONCATENATE(A1:D1)</f>
        <v>kerala</v>
      </c>
      <c r="G3" t="str">
        <v>malappuram</v>
      </c>
      <c r="H3" t="str">
        <v>manjeri</v>
      </c>
      <c r="I3" t="str">
        <v>145679</v>
      </c>
    </row>
    <row r="4" spans="1:9" x14ac:dyDescent="0.3">
      <c r="A4" t="s">
        <v>41</v>
      </c>
      <c r="B4" t="s">
        <v>42</v>
      </c>
      <c r="C4" t="s">
        <v>43</v>
      </c>
      <c r="D4">
        <v>686533</v>
      </c>
      <c r="F4" t="str">
        <f>A1&amp;B1&amp;C1</f>
        <v>keralamalappurammanjeri</v>
      </c>
    </row>
    <row r="5" spans="1:9" x14ac:dyDescent="0.3">
      <c r="A5" t="s">
        <v>44</v>
      </c>
      <c r="B5" t="s">
        <v>45</v>
      </c>
      <c r="C5" t="s">
        <v>45</v>
      </c>
      <c r="D5">
        <v>345673</v>
      </c>
      <c r="F5" t="str">
        <f>_xlfn.TEXTJOIN(",",TRUE,A1:D1)</f>
        <v>kerala,malappuram,manjeri,145679</v>
      </c>
    </row>
    <row r="6" spans="1:9" x14ac:dyDescent="0.3">
      <c r="A6" t="s">
        <v>46</v>
      </c>
      <c r="B6" t="s">
        <v>47</v>
      </c>
      <c r="C6" t="s">
        <v>47</v>
      </c>
      <c r="D6">
        <v>235567</v>
      </c>
    </row>
    <row r="7" spans="1:9" x14ac:dyDescent="0.3">
      <c r="A7" t="s">
        <v>48</v>
      </c>
      <c r="B7" t="s">
        <v>49</v>
      </c>
      <c r="C7" t="s">
        <v>49</v>
      </c>
      <c r="D7">
        <v>234567</v>
      </c>
    </row>
    <row r="8" spans="1:9" x14ac:dyDescent="0.3">
      <c r="A8" t="s">
        <v>50</v>
      </c>
      <c r="B8" t="s">
        <v>51</v>
      </c>
      <c r="C8" t="s">
        <v>51</v>
      </c>
      <c r="D8">
        <v>655774</v>
      </c>
    </row>
    <row r="9" spans="1:9" x14ac:dyDescent="0.3">
      <c r="A9" t="s">
        <v>52</v>
      </c>
      <c r="B9" t="s">
        <v>53</v>
      </c>
      <c r="C9" t="s">
        <v>53</v>
      </c>
      <c r="D9">
        <v>755434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</vt:lpstr>
      <vt:lpstr>february</vt:lpstr>
      <vt:lpstr>march</vt:lpstr>
      <vt:lpstr>april</vt:lpstr>
      <vt:lpstr>consoildate</vt:lpstr>
      <vt:lpstr>pivot table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anshidha</dc:creator>
  <cp:lastModifiedBy>femi anshidha</cp:lastModifiedBy>
  <cp:lastPrinted>2026-04-29T07:10:26Z</cp:lastPrinted>
  <dcterms:created xsi:type="dcterms:W3CDTF">2026-04-29T07:05:10Z</dcterms:created>
  <dcterms:modified xsi:type="dcterms:W3CDTF">2026-10-02T14:54:44Z</dcterms:modified>
</cp:coreProperties>
</file>