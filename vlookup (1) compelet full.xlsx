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A\excel\"/>
    </mc:Choice>
  </mc:AlternateContent>
  <xr:revisionPtr revIDLastSave="0" documentId="8_{869FB8D2-40F0-4F99-9851-F96F142F2744}" xr6:coauthVersionLast="47" xr6:coauthVersionMax="47" xr10:uidLastSave="{00000000-0000-0000-0000-000000000000}"/>
  <bookViews>
    <workbookView xWindow="-110" yWindow="-110" windowWidth="19420" windowHeight="10300" tabRatio="700" firstSheet="4" activeTab="8" xr2:uid="{00000000-000D-0000-FFFF-FFFF00000000}"/>
  </bookViews>
  <sheets>
    <sheet name="Exact Match" sheetId="1" r:id="rId1"/>
    <sheet name="Approximate Match" sheetId="2" r:id="rId2"/>
    <sheet name="Vlookup Looks Right" sheetId="6" r:id="rId3"/>
    <sheet name="First Match" sheetId="3" r:id="rId4"/>
    <sheet name="Partial Match" sheetId="9" r:id="rId5"/>
    <sheet name="Vlookup is Case-insensitive" sheetId="4" r:id="rId6"/>
    <sheet name="Multiple Criteria" sheetId="8" r:id="rId7"/>
    <sheet name="#NA error" sheetId="7" r:id="rId8"/>
    <sheet name="Multiple Lookup Tables" sheetId="5" r:id="rId9"/>
  </sheets>
  <externalReferences>
    <externalReference r:id="rId10"/>
  </externalReferences>
  <definedNames>
    <definedName name="Table1" localSheetId="6">'[1]Multiple Lookup Tables'!$G$4:$H$9</definedName>
    <definedName name="Table1">'Multiple Lookup Tables'!$G$4:$H$9</definedName>
    <definedName name="Table2" localSheetId="6">'[1]Multiple Lookup Tables'!$J$4:$K$6</definedName>
    <definedName name="Table2">'Multiple Lookup Tables'!$J$4:$K$6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7" l="1"/>
  <c r="H4" i="8" a="1"/>
  <c r="H4" i="8"/>
  <c r="H3" i="4"/>
  <c r="I3" i="9"/>
  <c r="I3" i="3"/>
  <c r="J3" i="6"/>
  <c r="H3" i="6"/>
  <c r="G4" i="2"/>
  <c r="I3" i="1"/>
  <c r="J12" i="5"/>
  <c r="I3" i="7"/>
  <c r="H3" i="9"/>
  <c r="H3" i="3"/>
  <c r="I3" i="6"/>
  <c r="H3" i="1"/>
  <c r="G3" i="9"/>
  <c r="G4" i="8" a="1"/>
  <c r="G4" i="8" s="1"/>
  <c r="H3" i="7" l="1"/>
  <c r="E5" i="5" l="1"/>
  <c r="E6" i="5"/>
  <c r="E7" i="5"/>
  <c r="E8" i="5"/>
  <c r="E9" i="5"/>
  <c r="E10" i="5"/>
  <c r="E4" i="5"/>
  <c r="G3" i="4" l="1"/>
  <c r="G3" i="3"/>
  <c r="F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<sst xmlns="http://schemas.openxmlformats.org/spreadsheetml/2006/main" count="189" uniqueCount="45">
  <si>
    <t>John</t>
  </si>
  <si>
    <t>First Name</t>
  </si>
  <si>
    <t>Last Name</t>
  </si>
  <si>
    <t>Salary</t>
  </si>
  <si>
    <t>Mark</t>
  </si>
  <si>
    <t>Richard</t>
  </si>
  <si>
    <t>James</t>
  </si>
  <si>
    <t>Smith</t>
  </si>
  <si>
    <t>Anderson</t>
  </si>
  <si>
    <t>Clark</t>
  </si>
  <si>
    <t>Lewis</t>
  </si>
  <si>
    <t>Walker</t>
  </si>
  <si>
    <t>Reed</t>
  </si>
  <si>
    <t>Lopez</t>
  </si>
  <si>
    <t>ID</t>
  </si>
  <si>
    <t>Score</t>
  </si>
  <si>
    <t>Grade</t>
  </si>
  <si>
    <t>F</t>
  </si>
  <si>
    <t>D</t>
  </si>
  <si>
    <t>C</t>
  </si>
  <si>
    <t>B</t>
  </si>
  <si>
    <t>A</t>
  </si>
  <si>
    <t>Emily</t>
  </si>
  <si>
    <t>Mia</t>
  </si>
  <si>
    <t>Jessica</t>
  </si>
  <si>
    <t>MIA</t>
  </si>
  <si>
    <t>Sales</t>
  </si>
  <si>
    <t>Bonus</t>
  </si>
  <si>
    <t>Market</t>
  </si>
  <si>
    <t>USA</t>
  </si>
  <si>
    <t>UK</t>
  </si>
  <si>
    <t>Table 2: USA Market</t>
  </si>
  <si>
    <t>Table 1: UK Market</t>
  </si>
  <si>
    <t>Jess</t>
  </si>
  <si>
    <t>JOHN</t>
  </si>
  <si>
    <t>LAIM</t>
  </si>
  <si>
    <t>EM</t>
  </si>
  <si>
    <t>IFNA</t>
  </si>
  <si>
    <t>INDEX MATCH</t>
  </si>
  <si>
    <t>mark</t>
  </si>
  <si>
    <t>mia</t>
  </si>
  <si>
    <t>ri</t>
  </si>
  <si>
    <t>james</t>
  </si>
  <si>
    <t>john</t>
  </si>
  <si>
    <t>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</si>
</sst>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iels/Downloads/vlookup%20(1).xlsx" TargetMode="External"/><Relationship Id="rId1" Type="http://schemas.openxmlformats.org/officeDocument/2006/relationships/externalLinkPath" Target="/Users/Niels/Downloads/vlookup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act Match"/>
      <sheetName val="Approximate Match"/>
      <sheetName val="Right Lookup"/>
      <sheetName val="First Match"/>
      <sheetName val="Case-insensitive"/>
      <sheetName val="Multiple Criteria"/>
      <sheetName val="#NA error"/>
      <sheetName val="Multiple Lookup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G4">
            <v>0</v>
          </cell>
          <cell r="H4">
            <v>0</v>
          </cell>
          <cell r="J4">
            <v>0</v>
          </cell>
          <cell r="K4">
            <v>100</v>
          </cell>
        </row>
        <row r="5">
          <cell r="G5">
            <v>2000</v>
          </cell>
          <cell r="H5">
            <v>400</v>
          </cell>
          <cell r="J5">
            <v>5000</v>
          </cell>
          <cell r="K5">
            <v>1000</v>
          </cell>
        </row>
        <row r="6">
          <cell r="G6">
            <v>4000</v>
          </cell>
          <cell r="H6">
            <v>600</v>
          </cell>
          <cell r="J6">
            <v>10000</v>
          </cell>
          <cell r="K6">
            <v>1500</v>
          </cell>
        </row>
        <row r="7">
          <cell r="G7">
            <v>6000</v>
          </cell>
          <cell r="H7">
            <v>700</v>
          </cell>
        </row>
        <row r="8">
          <cell r="G8">
            <v>8000</v>
          </cell>
          <cell r="H8">
            <v>900</v>
          </cell>
        </row>
        <row r="9">
          <cell r="G9">
            <v>10000</v>
          </cell>
          <cell r="H9">
            <v>1100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workbookViewId="0">
      <selection activeCell="H3" sqref="H3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9" x14ac:dyDescent="0.35">
      <c r="B2" s="1" t="s">
        <v>14</v>
      </c>
      <c r="C2" s="1" t="s">
        <v>1</v>
      </c>
      <c r="D2" s="1" t="s">
        <v>2</v>
      </c>
      <c r="E2" s="1" t="s">
        <v>3</v>
      </c>
      <c r="G2" s="1" t="s">
        <v>14</v>
      </c>
      <c r="H2">
        <v>53</v>
      </c>
      <c r="I2">
        <v>14</v>
      </c>
    </row>
    <row r="3" spans="2:9" x14ac:dyDescent="0.35">
      <c r="B3">
        <v>72</v>
      </c>
      <c r="C3" t="s">
        <v>22</v>
      </c>
      <c r="D3" t="s">
        <v>7</v>
      </c>
      <c r="E3" s="2">
        <v>64901</v>
      </c>
      <c r="G3" s="1" t="s">
        <v>3</v>
      </c>
      <c r="H3" s="2">
        <f>VLOOKUP(H2,B3:E9,4,FALSE)</f>
        <v>58339</v>
      </c>
      <c r="I3">
        <f>VLOOKUP(I2,B3:E9,4,FALSE)</f>
        <v>188657</v>
      </c>
    </row>
    <row r="4" spans="2:9" x14ac:dyDescent="0.35">
      <c r="B4">
        <v>66</v>
      </c>
      <c r="C4" t="s">
        <v>6</v>
      </c>
      <c r="D4" t="s">
        <v>8</v>
      </c>
      <c r="E4" s="2">
        <v>70855</v>
      </c>
    </row>
    <row r="5" spans="2:9" x14ac:dyDescent="0.35">
      <c r="B5">
        <v>14</v>
      </c>
      <c r="C5" t="s">
        <v>23</v>
      </c>
      <c r="D5" t="s">
        <v>9</v>
      </c>
      <c r="E5" s="2">
        <v>188657</v>
      </c>
      <c r="G5" s="1"/>
      <c r="H5" s="2"/>
    </row>
    <row r="6" spans="2:9" x14ac:dyDescent="0.35">
      <c r="B6">
        <v>30</v>
      </c>
      <c r="C6" t="s">
        <v>0</v>
      </c>
      <c r="D6" t="s">
        <v>10</v>
      </c>
      <c r="E6" s="2">
        <v>97566</v>
      </c>
    </row>
    <row r="7" spans="2:9" x14ac:dyDescent="0.35">
      <c r="B7">
        <v>53</v>
      </c>
      <c r="C7" t="s">
        <v>24</v>
      </c>
      <c r="D7" t="s">
        <v>11</v>
      </c>
      <c r="E7" s="2">
        <v>58339</v>
      </c>
    </row>
    <row r="8" spans="2:9" x14ac:dyDescent="0.35">
      <c r="B8">
        <v>56</v>
      </c>
      <c r="C8" t="s">
        <v>4</v>
      </c>
      <c r="D8" t="s">
        <v>12</v>
      </c>
      <c r="E8" s="2">
        <v>125180</v>
      </c>
    </row>
    <row r="9" spans="2:9" x14ac:dyDescent="0.35">
      <c r="B9">
        <v>79</v>
      </c>
      <c r="C9" t="s">
        <v>5</v>
      </c>
      <c r="D9" t="s">
        <v>13</v>
      </c>
      <c r="E9" s="2">
        <v>91632</v>
      </c>
    </row>
    <row r="10" spans="2:9" x14ac:dyDescent="0.35">
      <c r="E10" s="2"/>
    </row>
    <row r="11" spans="2:9" x14ac:dyDescent="0.35">
      <c r="E11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7"/>
  <sheetViews>
    <sheetView workbookViewId="0">
      <selection activeCell="G5" sqref="G5"/>
    </sheetView>
  </sheetViews>
  <sheetFormatPr defaultRowHeight="14.5" x14ac:dyDescent="0.35"/>
  <cols>
    <col min="3" max="3" width="9.26953125" customWidth="1"/>
    <col min="4" max="4" width="9.1796875" customWidth="1"/>
  </cols>
  <sheetData>
    <row r="2" spans="2:7" x14ac:dyDescent="0.35">
      <c r="B2" s="1" t="s">
        <v>15</v>
      </c>
      <c r="C2" s="1" t="s">
        <v>16</v>
      </c>
    </row>
    <row r="3" spans="2:7" x14ac:dyDescent="0.35">
      <c r="B3">
        <v>0</v>
      </c>
      <c r="C3" t="s">
        <v>17</v>
      </c>
      <c r="E3" s="1" t="s">
        <v>15</v>
      </c>
      <c r="F3">
        <v>85</v>
      </c>
      <c r="G3">
        <v>77</v>
      </c>
    </row>
    <row r="4" spans="2:7" x14ac:dyDescent="0.35">
      <c r="B4">
        <v>60</v>
      </c>
      <c r="C4" t="s">
        <v>18</v>
      </c>
      <c r="E4" s="1" t="s">
        <v>16</v>
      </c>
      <c r="F4" t="str">
        <f>VLOOKUP(F3,B3:C7,2,TRUE)</f>
        <v>B</v>
      </c>
      <c r="G4" t="str">
        <f>VLOOKUP(G3,B3:C7,2,TRUE)</f>
        <v>C</v>
      </c>
    </row>
    <row r="5" spans="2:7" x14ac:dyDescent="0.35">
      <c r="B5">
        <v>70</v>
      </c>
      <c r="C5" t="s">
        <v>19</v>
      </c>
    </row>
    <row r="6" spans="2:7" x14ac:dyDescent="0.35">
      <c r="B6">
        <v>80</v>
      </c>
      <c r="C6" t="s">
        <v>20</v>
      </c>
    </row>
    <row r="7" spans="2:7" x14ac:dyDescent="0.35">
      <c r="B7">
        <v>90</v>
      </c>
      <c r="C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9E76-4FC1-4AB6-8316-31DAB4BEA350}">
  <dimension ref="B2:J11"/>
  <sheetViews>
    <sheetView workbookViewId="0">
      <selection activeCell="J4" sqref="J4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10" x14ac:dyDescent="0.35">
      <c r="B2" s="1" t="s">
        <v>14</v>
      </c>
      <c r="C2" s="1" t="s">
        <v>1</v>
      </c>
      <c r="D2" s="1" t="s">
        <v>2</v>
      </c>
      <c r="E2" s="1" t="s">
        <v>3</v>
      </c>
      <c r="G2" s="1" t="s">
        <v>1</v>
      </c>
      <c r="H2" t="s">
        <v>0</v>
      </c>
      <c r="I2" s="1" t="s">
        <v>25</v>
      </c>
      <c r="J2" t="s">
        <v>39</v>
      </c>
    </row>
    <row r="3" spans="2:10" x14ac:dyDescent="0.35">
      <c r="B3">
        <v>72</v>
      </c>
      <c r="C3" t="s">
        <v>22</v>
      </c>
      <c r="D3" t="s">
        <v>7</v>
      </c>
      <c r="E3" s="2">
        <v>64901</v>
      </c>
      <c r="G3" s="1" t="s">
        <v>2</v>
      </c>
      <c r="H3" s="2" t="str">
        <f>VLOOKUP(H2,C3:E9,2,FALSE)</f>
        <v>Lewis</v>
      </c>
      <c r="I3" t="str">
        <f>VLOOKUP(I2,C2:E9,2,FALSE)</f>
        <v>Clark</v>
      </c>
      <c r="J3" t="str">
        <f>VLOOKUP(J2,C3:E9,2,FALSE)</f>
        <v>Reed</v>
      </c>
    </row>
    <row r="4" spans="2:10" x14ac:dyDescent="0.35">
      <c r="B4">
        <v>66</v>
      </c>
      <c r="C4" t="s">
        <v>6</v>
      </c>
      <c r="D4" t="s">
        <v>8</v>
      </c>
      <c r="E4" s="2">
        <v>70855</v>
      </c>
    </row>
    <row r="5" spans="2:10" x14ac:dyDescent="0.35">
      <c r="B5">
        <v>14</v>
      </c>
      <c r="C5" t="s">
        <v>23</v>
      </c>
      <c r="D5" t="s">
        <v>9</v>
      </c>
      <c r="E5" s="2">
        <v>188657</v>
      </c>
      <c r="G5" s="1"/>
      <c r="H5" s="2"/>
    </row>
    <row r="6" spans="2:10" x14ac:dyDescent="0.35">
      <c r="B6">
        <v>30</v>
      </c>
      <c r="C6" t="s">
        <v>0</v>
      </c>
      <c r="D6" t="s">
        <v>10</v>
      </c>
      <c r="E6" s="2">
        <v>97566</v>
      </c>
    </row>
    <row r="7" spans="2:10" x14ac:dyDescent="0.35">
      <c r="B7">
        <v>53</v>
      </c>
      <c r="C7" t="s">
        <v>24</v>
      </c>
      <c r="D7" t="s">
        <v>11</v>
      </c>
      <c r="E7" s="2">
        <v>58339</v>
      </c>
    </row>
    <row r="8" spans="2:10" x14ac:dyDescent="0.35">
      <c r="B8">
        <v>56</v>
      </c>
      <c r="C8" t="s">
        <v>4</v>
      </c>
      <c r="D8" t="s">
        <v>12</v>
      </c>
      <c r="E8" s="2">
        <v>125180</v>
      </c>
    </row>
    <row r="9" spans="2:10" x14ac:dyDescent="0.35">
      <c r="B9">
        <v>79</v>
      </c>
      <c r="C9" t="s">
        <v>5</v>
      </c>
      <c r="D9" t="s">
        <v>13</v>
      </c>
      <c r="E9" s="2">
        <v>91632</v>
      </c>
    </row>
    <row r="10" spans="2:10" x14ac:dyDescent="0.35">
      <c r="E10" s="2"/>
    </row>
    <row r="11" spans="2:10" x14ac:dyDescent="0.35">
      <c r="E11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1"/>
  <sheetViews>
    <sheetView workbookViewId="0">
      <selection activeCell="I4" sqref="I4"/>
    </sheetView>
  </sheetViews>
  <sheetFormatPr defaultRowHeight="14.5" x14ac:dyDescent="0.35"/>
  <cols>
    <col min="1" max="1" width="3" customWidth="1"/>
    <col min="2" max="2" width="10.54296875" bestFit="1" customWidth="1"/>
    <col min="3" max="3" width="10.1796875" bestFit="1" customWidth="1"/>
    <col min="4" max="4" width="9.1796875" customWidth="1"/>
    <col min="5" max="5" width="7.81640625" customWidth="1"/>
    <col min="6" max="6" width="10.54296875" bestFit="1" customWidth="1"/>
    <col min="7" max="7" width="10.54296875" customWidth="1"/>
    <col min="8" max="9" width="10.26953125" customWidth="1"/>
  </cols>
  <sheetData>
    <row r="2" spans="2:9" x14ac:dyDescent="0.35">
      <c r="B2" s="1" t="s">
        <v>1</v>
      </c>
      <c r="C2" s="1" t="s">
        <v>2</v>
      </c>
      <c r="D2" s="1" t="s">
        <v>3</v>
      </c>
      <c r="F2" s="1" t="s">
        <v>1</v>
      </c>
      <c r="G2" t="s">
        <v>23</v>
      </c>
      <c r="H2" s="1" t="s">
        <v>34</v>
      </c>
      <c r="I2" t="s">
        <v>40</v>
      </c>
    </row>
    <row r="3" spans="2:9" x14ac:dyDescent="0.35">
      <c r="B3" t="s">
        <v>22</v>
      </c>
      <c r="C3" t="s">
        <v>7</v>
      </c>
      <c r="D3" s="2">
        <v>64901</v>
      </c>
      <c r="F3" s="1" t="s">
        <v>3</v>
      </c>
      <c r="G3" s="2">
        <f>VLOOKUP(G2,B3:D9,3,FALSE)</f>
        <v>188657</v>
      </c>
      <c r="H3">
        <f>VLOOKUP(H2,B2:D10,3,FALSE)</f>
        <v>97566</v>
      </c>
      <c r="I3">
        <f>VLOOKUP(I2,B3:D10,3,FALSE)</f>
        <v>188657</v>
      </c>
    </row>
    <row r="4" spans="2:9" x14ac:dyDescent="0.35">
      <c r="B4" t="s">
        <v>6</v>
      </c>
      <c r="C4" t="s">
        <v>8</v>
      </c>
      <c r="D4" s="2">
        <v>70855</v>
      </c>
    </row>
    <row r="5" spans="2:9" x14ac:dyDescent="0.35">
      <c r="B5" t="s">
        <v>23</v>
      </c>
      <c r="C5" t="s">
        <v>9</v>
      </c>
      <c r="D5" s="2">
        <v>188657</v>
      </c>
      <c r="F5" s="1"/>
      <c r="G5" s="2"/>
    </row>
    <row r="6" spans="2:9" x14ac:dyDescent="0.35">
      <c r="B6" t="s">
        <v>0</v>
      </c>
      <c r="C6" t="s">
        <v>10</v>
      </c>
      <c r="D6" s="2">
        <v>97566</v>
      </c>
    </row>
    <row r="7" spans="2:9" x14ac:dyDescent="0.35">
      <c r="B7" t="s">
        <v>24</v>
      </c>
      <c r="C7" t="s">
        <v>11</v>
      </c>
      <c r="D7" s="2">
        <v>58339</v>
      </c>
    </row>
    <row r="8" spans="2:9" x14ac:dyDescent="0.35">
      <c r="B8" t="s">
        <v>23</v>
      </c>
      <c r="C8" t="s">
        <v>12</v>
      </c>
      <c r="D8" s="2">
        <v>125180</v>
      </c>
    </row>
    <row r="9" spans="2:9" x14ac:dyDescent="0.35">
      <c r="B9" t="s">
        <v>5</v>
      </c>
      <c r="C9" t="s">
        <v>13</v>
      </c>
      <c r="D9" s="2">
        <v>91632</v>
      </c>
    </row>
    <row r="10" spans="2:9" x14ac:dyDescent="0.35">
      <c r="B10" t="s">
        <v>34</v>
      </c>
      <c r="C10" t="s">
        <v>35</v>
      </c>
      <c r="D10" s="2">
        <v>35463</v>
      </c>
    </row>
    <row r="11" spans="2:9" x14ac:dyDescent="0.35">
      <c r="D11" s="2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728C-9177-4AAA-AB0A-D32C8E9D69FA}">
  <dimension ref="B2:I11"/>
  <sheetViews>
    <sheetView workbookViewId="0">
      <selection activeCell="I4" sqref="I4"/>
    </sheetView>
  </sheetViews>
  <sheetFormatPr defaultRowHeight="14.5" x14ac:dyDescent="0.35"/>
  <cols>
    <col min="1" max="1" width="3" customWidth="1"/>
    <col min="2" max="2" width="10.54296875" bestFit="1" customWidth="1"/>
    <col min="3" max="3" width="10.1796875" bestFit="1" customWidth="1"/>
    <col min="4" max="4" width="9.1796875" customWidth="1"/>
    <col min="5" max="5" width="7.81640625" customWidth="1"/>
    <col min="6" max="6" width="10.54296875" bestFit="1" customWidth="1"/>
    <col min="7" max="7" width="10.54296875" customWidth="1"/>
    <col min="8" max="9" width="10.26953125" customWidth="1"/>
  </cols>
  <sheetData>
    <row r="2" spans="2:9" x14ac:dyDescent="0.35">
      <c r="B2" s="1" t="s">
        <v>1</v>
      </c>
      <c r="C2" s="1" t="s">
        <v>2</v>
      </c>
      <c r="D2" s="1" t="s">
        <v>3</v>
      </c>
      <c r="F2" s="1" t="s">
        <v>1</v>
      </c>
      <c r="G2" t="s">
        <v>33</v>
      </c>
      <c r="H2" s="1" t="s">
        <v>36</v>
      </c>
      <c r="I2" t="s">
        <v>41</v>
      </c>
    </row>
    <row r="3" spans="2:9" x14ac:dyDescent="0.35">
      <c r="B3" t="s">
        <v>22</v>
      </c>
      <c r="C3" t="s">
        <v>7</v>
      </c>
      <c r="D3" s="2">
        <v>64901</v>
      </c>
      <c r="F3" s="1" t="s">
        <v>3</v>
      </c>
      <c r="G3" s="2">
        <f>VLOOKUP(G2&amp;"*",B3:D9,3,FALSE)</f>
        <v>58339</v>
      </c>
      <c r="H3">
        <f>VLOOKUP(H2&amp;"*",B3:D9,3,FALSE)</f>
        <v>64901</v>
      </c>
      <c r="I3">
        <f>VLOOKUP(I2&amp;"*",B3:D9,3,TRUE)</f>
        <v>125180</v>
      </c>
    </row>
    <row r="4" spans="2:9" x14ac:dyDescent="0.35">
      <c r="B4" t="s">
        <v>6</v>
      </c>
      <c r="C4" t="s">
        <v>8</v>
      </c>
      <c r="D4" s="2">
        <v>70855</v>
      </c>
    </row>
    <row r="5" spans="2:9" x14ac:dyDescent="0.35">
      <c r="B5" t="s">
        <v>23</v>
      </c>
      <c r="C5" t="s">
        <v>9</v>
      </c>
      <c r="D5" s="2">
        <v>188657</v>
      </c>
      <c r="F5" s="1"/>
      <c r="G5" s="2"/>
    </row>
    <row r="6" spans="2:9" x14ac:dyDescent="0.35">
      <c r="B6" t="s">
        <v>0</v>
      </c>
      <c r="C6" t="s">
        <v>10</v>
      </c>
      <c r="D6" s="2">
        <v>97566</v>
      </c>
    </row>
    <row r="7" spans="2:9" x14ac:dyDescent="0.35">
      <c r="B7" t="s">
        <v>24</v>
      </c>
      <c r="C7" t="s">
        <v>11</v>
      </c>
      <c r="D7" s="2">
        <v>58339</v>
      </c>
    </row>
    <row r="8" spans="2:9" x14ac:dyDescent="0.35">
      <c r="B8" t="s">
        <v>23</v>
      </c>
      <c r="C8" t="s">
        <v>12</v>
      </c>
      <c r="D8" s="2">
        <v>125180</v>
      </c>
    </row>
    <row r="9" spans="2:9" x14ac:dyDescent="0.35">
      <c r="B9" t="s">
        <v>5</v>
      </c>
      <c r="C9" t="s">
        <v>13</v>
      </c>
      <c r="D9" s="2">
        <v>91632</v>
      </c>
    </row>
    <row r="10" spans="2:9" x14ac:dyDescent="0.35">
      <c r="D10" s="2"/>
    </row>
    <row r="11" spans="2:9" x14ac:dyDescent="0.35">
      <c r="D11" s="2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1"/>
  <sheetViews>
    <sheetView workbookViewId="0">
      <selection activeCell="H4" sqref="H4"/>
    </sheetView>
  </sheetViews>
  <sheetFormatPr defaultRowHeight="14.5" x14ac:dyDescent="0.35"/>
  <cols>
    <col min="1" max="1" width="3" customWidth="1"/>
    <col min="2" max="2" width="10.54296875" bestFit="1" customWidth="1"/>
    <col min="3" max="3" width="10.1796875" bestFit="1" customWidth="1"/>
    <col min="4" max="4" width="9.1796875" customWidth="1"/>
    <col min="5" max="5" width="7.81640625" customWidth="1"/>
    <col min="6" max="6" width="10.54296875" bestFit="1" customWidth="1"/>
    <col min="7" max="7" width="10.54296875" customWidth="1"/>
    <col min="8" max="9" width="10.26953125" customWidth="1"/>
  </cols>
  <sheetData>
    <row r="2" spans="2:8" x14ac:dyDescent="0.35">
      <c r="B2" s="1" t="s">
        <v>1</v>
      </c>
      <c r="C2" s="1" t="s">
        <v>2</v>
      </c>
      <c r="D2" s="1" t="s">
        <v>3</v>
      </c>
      <c r="F2" s="1" t="s">
        <v>1</v>
      </c>
      <c r="G2" t="s">
        <v>25</v>
      </c>
      <c r="H2" s="1" t="s">
        <v>42</v>
      </c>
    </row>
    <row r="3" spans="2:8" x14ac:dyDescent="0.35">
      <c r="B3" t="s">
        <v>22</v>
      </c>
      <c r="C3" t="s">
        <v>7</v>
      </c>
      <c r="D3" s="2">
        <v>64901</v>
      </c>
      <c r="F3" s="1" t="s">
        <v>3</v>
      </c>
      <c r="G3" s="2">
        <f>VLOOKUP(G2,B3:D9,3,FALSE)</f>
        <v>188657</v>
      </c>
      <c r="H3">
        <f>VLOOKUP(H2,B3:D9,3,TRUE)</f>
        <v>70855</v>
      </c>
    </row>
    <row r="4" spans="2:8" x14ac:dyDescent="0.35">
      <c r="B4" t="s">
        <v>6</v>
      </c>
      <c r="C4" t="s">
        <v>8</v>
      </c>
      <c r="D4" s="2">
        <v>70855</v>
      </c>
    </row>
    <row r="5" spans="2:8" x14ac:dyDescent="0.35">
      <c r="B5" t="s">
        <v>23</v>
      </c>
      <c r="C5" t="s">
        <v>9</v>
      </c>
      <c r="D5" s="2">
        <v>188657</v>
      </c>
      <c r="F5" s="1"/>
      <c r="G5" s="2"/>
    </row>
    <row r="6" spans="2:8" x14ac:dyDescent="0.35">
      <c r="B6" t="s">
        <v>0</v>
      </c>
      <c r="C6" t="s">
        <v>10</v>
      </c>
      <c r="D6" s="2">
        <v>97566</v>
      </c>
    </row>
    <row r="7" spans="2:8" x14ac:dyDescent="0.35">
      <c r="B7" t="s">
        <v>24</v>
      </c>
      <c r="C7" t="s">
        <v>11</v>
      </c>
      <c r="D7" s="2">
        <v>58339</v>
      </c>
    </row>
    <row r="8" spans="2:8" x14ac:dyDescent="0.35">
      <c r="B8" t="s">
        <v>25</v>
      </c>
      <c r="C8" t="s">
        <v>12</v>
      </c>
      <c r="D8" s="2">
        <v>125180</v>
      </c>
    </row>
    <row r="9" spans="2:8" x14ac:dyDescent="0.35">
      <c r="B9" t="s">
        <v>5</v>
      </c>
      <c r="C9" t="s">
        <v>13</v>
      </c>
      <c r="D9" s="2">
        <v>91632</v>
      </c>
    </row>
    <row r="10" spans="2:8" x14ac:dyDescent="0.35">
      <c r="D10" s="2"/>
    </row>
    <row r="11" spans="2:8" x14ac:dyDescent="0.35">
      <c r="D11" s="2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9DA6-4167-4174-9D98-E7BFF1D00C3B}">
  <dimension ref="B2:K11"/>
  <sheetViews>
    <sheetView workbookViewId="0">
      <selection activeCell="H5" sqref="H5"/>
    </sheetView>
  </sheetViews>
  <sheetFormatPr defaultRowHeight="14.5" x14ac:dyDescent="0.35"/>
  <cols>
    <col min="1" max="1" width="3" customWidth="1"/>
    <col min="2" max="2" width="10.54296875" bestFit="1" customWidth="1"/>
    <col min="3" max="3" width="10.1796875" bestFit="1" customWidth="1"/>
    <col min="4" max="4" width="9.1796875" customWidth="1"/>
    <col min="5" max="5" width="7.81640625" customWidth="1"/>
    <col min="6" max="6" width="10.54296875" bestFit="1" customWidth="1"/>
    <col min="7" max="7" width="10.54296875" customWidth="1"/>
    <col min="8" max="9" width="10.26953125" customWidth="1"/>
  </cols>
  <sheetData>
    <row r="2" spans="2:11" x14ac:dyDescent="0.35">
      <c r="B2" s="1" t="s">
        <v>1</v>
      </c>
      <c r="C2" s="1" t="s">
        <v>2</v>
      </c>
      <c r="D2" s="1" t="s">
        <v>3</v>
      </c>
      <c r="F2" s="1" t="s">
        <v>1</v>
      </c>
      <c r="G2" t="s">
        <v>6</v>
      </c>
      <c r="H2" s="1" t="s">
        <v>43</v>
      </c>
    </row>
    <row r="3" spans="2:11" x14ac:dyDescent="0.35">
      <c r="B3" t="s">
        <v>6</v>
      </c>
      <c r="C3" t="s">
        <v>7</v>
      </c>
      <c r="D3" s="2">
        <v>64901</v>
      </c>
      <c r="F3" s="1" t="s">
        <v>2</v>
      </c>
      <c r="G3" t="s">
        <v>9</v>
      </c>
      <c r="H3" t="s">
        <v>44</v>
      </c>
    </row>
    <row r="4" spans="2:11" x14ac:dyDescent="0.35">
      <c r="B4" t="s">
        <v>6</v>
      </c>
      <c r="C4" t="s">
        <v>8</v>
      </c>
      <c r="D4" s="2">
        <v>70855</v>
      </c>
      <c r="F4" s="1" t="s">
        <v>3</v>
      </c>
      <c r="G4" s="2">
        <f t="array" ref="G4">INDEX(D3:D9,MATCH(G2&amp;G3,B3:B9&amp;C3:C9,0))</f>
        <v>188657</v>
      </c>
      <c r="H4" cm="1">
        <f t="array" ref="H4">INDEX(D3:D9,MATCH(H2&amp;H3,B3:B9&amp;C3:C9,0))</f>
        <v>97566</v>
      </c>
    </row>
    <row r="5" spans="2:11" x14ac:dyDescent="0.35">
      <c r="B5" t="s">
        <v>6</v>
      </c>
      <c r="C5" t="s">
        <v>9</v>
      </c>
      <c r="D5" s="2">
        <v>188657</v>
      </c>
      <c r="F5" s="1"/>
      <c r="G5" s="2"/>
    </row>
    <row r="6" spans="2:11" x14ac:dyDescent="0.35">
      <c r="B6" t="s">
        <v>0</v>
      </c>
      <c r="C6" t="s">
        <v>10</v>
      </c>
      <c r="D6" s="2">
        <v>97566</v>
      </c>
    </row>
    <row r="7" spans="2:11" x14ac:dyDescent="0.35">
      <c r="B7" t="s">
        <v>0</v>
      </c>
      <c r="C7" t="s">
        <v>11</v>
      </c>
      <c r="D7" s="2">
        <v>58339</v>
      </c>
    </row>
    <row r="8" spans="2:11" x14ac:dyDescent="0.35">
      <c r="B8" t="s">
        <v>4</v>
      </c>
      <c r="C8" t="s">
        <v>12</v>
      </c>
      <c r="D8" s="2">
        <v>125180</v>
      </c>
    </row>
    <row r="9" spans="2:11" x14ac:dyDescent="0.35">
      <c r="B9" t="s">
        <v>5</v>
      </c>
      <c r="C9" t="s">
        <v>13</v>
      </c>
      <c r="D9" s="2">
        <v>91632</v>
      </c>
      <c r="K9" t="s">
        <v>38</v>
      </c>
    </row>
    <row r="10" spans="2:11" x14ac:dyDescent="0.35">
      <c r="D10" s="2"/>
    </row>
    <row r="11" spans="2:11" x14ac:dyDescent="0.35">
      <c r="D11" s="2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47AD-65AA-4F15-A73C-81A867F760DD}">
  <dimension ref="B2:L11"/>
  <sheetViews>
    <sheetView workbookViewId="0">
      <selection activeCell="J4" sqref="J4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12" x14ac:dyDescent="0.35">
      <c r="B2" s="1" t="s">
        <v>14</v>
      </c>
      <c r="C2" s="1" t="s">
        <v>1</v>
      </c>
      <c r="D2" s="1" t="s">
        <v>2</v>
      </c>
      <c r="E2" s="1" t="s">
        <v>3</v>
      </c>
      <c r="G2" s="1" t="s">
        <v>14</v>
      </c>
      <c r="H2">
        <v>28</v>
      </c>
      <c r="I2">
        <v>60</v>
      </c>
      <c r="J2">
        <v>54</v>
      </c>
    </row>
    <row r="3" spans="2:12" x14ac:dyDescent="0.35">
      <c r="B3">
        <v>72</v>
      </c>
      <c r="C3" t="s">
        <v>22</v>
      </c>
      <c r="D3" t="s">
        <v>7</v>
      </c>
      <c r="E3" s="2">
        <v>64901</v>
      </c>
      <c r="G3" s="1" t="s">
        <v>3</v>
      </c>
      <c r="H3" s="2" t="str">
        <f>_xlfn.IFNA(VLOOKUP(H2,B3:E9,4,FALSE),"Not Found")</f>
        <v>Not Found</v>
      </c>
      <c r="I3" t="str">
        <f>_xlfn.IFNA(VLOOKUP(I2,B3:E9,4,FALSE),"NOT FOUND")</f>
        <v>NOT FOUND</v>
      </c>
      <c r="J3" t="str">
        <f>_xlfn.IFNA(VLOOKUP(J2,B3:E9,4,FALSE),"not found")</f>
        <v>not found</v>
      </c>
    </row>
    <row r="4" spans="2:12" x14ac:dyDescent="0.35">
      <c r="B4">
        <v>66</v>
      </c>
      <c r="C4" t="s">
        <v>6</v>
      </c>
      <c r="D4" t="s">
        <v>8</v>
      </c>
      <c r="E4" s="2">
        <v>70855</v>
      </c>
    </row>
    <row r="5" spans="2:12" x14ac:dyDescent="0.35">
      <c r="B5">
        <v>14</v>
      </c>
      <c r="C5" t="s">
        <v>23</v>
      </c>
      <c r="D5" t="s">
        <v>9</v>
      </c>
      <c r="E5" s="2">
        <v>188657</v>
      </c>
      <c r="G5" s="1"/>
      <c r="H5" s="2"/>
    </row>
    <row r="6" spans="2:12" x14ac:dyDescent="0.35">
      <c r="B6">
        <v>30</v>
      </c>
      <c r="C6" t="s">
        <v>0</v>
      </c>
      <c r="D6" t="s">
        <v>10</v>
      </c>
      <c r="E6" s="2">
        <v>97566</v>
      </c>
    </row>
    <row r="7" spans="2:12" x14ac:dyDescent="0.35">
      <c r="B7">
        <v>53</v>
      </c>
      <c r="C7" t="s">
        <v>24</v>
      </c>
      <c r="D7" t="s">
        <v>11</v>
      </c>
      <c r="E7" s="2">
        <v>58339</v>
      </c>
      <c r="L7" t="s">
        <v>37</v>
      </c>
    </row>
    <row r="8" spans="2:12" x14ac:dyDescent="0.35">
      <c r="B8">
        <v>56</v>
      </c>
      <c r="C8" t="s">
        <v>4</v>
      </c>
      <c r="D8" t="s">
        <v>12</v>
      </c>
      <c r="E8" s="2">
        <v>125180</v>
      </c>
    </row>
    <row r="9" spans="2:12" x14ac:dyDescent="0.35">
      <c r="B9">
        <v>79</v>
      </c>
      <c r="C9" t="s">
        <v>5</v>
      </c>
      <c r="D9" t="s">
        <v>13</v>
      </c>
      <c r="E9" s="2">
        <v>91632</v>
      </c>
    </row>
    <row r="10" spans="2:12" x14ac:dyDescent="0.35">
      <c r="E10" s="2"/>
    </row>
    <row r="11" spans="2:12" x14ac:dyDescent="0.35">
      <c r="E11" s="2"/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2"/>
  <sheetViews>
    <sheetView tabSelected="1" topLeftCell="B1" zoomScale="113" workbookViewId="0">
      <selection activeCell="J12" sqref="J12"/>
    </sheetView>
  </sheetViews>
  <sheetFormatPr defaultRowHeight="14.5" x14ac:dyDescent="0.35"/>
  <cols>
    <col min="1" max="1" width="3" customWidth="1"/>
    <col min="2" max="2" width="10.1796875" bestFit="1" customWidth="1"/>
    <col min="3" max="3" width="8" customWidth="1"/>
    <col min="4" max="5" width="8.1796875" customWidth="1"/>
    <col min="6" max="6" width="3.26953125" customWidth="1"/>
    <col min="7" max="8" width="8.7265625" customWidth="1"/>
    <col min="9" max="9" width="2.81640625" customWidth="1"/>
    <col min="10" max="11" width="9.26953125" customWidth="1"/>
    <col min="12" max="12" width="2.81640625" customWidth="1"/>
  </cols>
  <sheetData>
    <row r="2" spans="2:11" x14ac:dyDescent="0.35">
      <c r="G2" s="4" t="s">
        <v>32</v>
      </c>
      <c r="H2" s="4"/>
      <c r="J2" s="4" t="s">
        <v>31</v>
      </c>
      <c r="K2" s="4"/>
    </row>
    <row r="3" spans="2:11" x14ac:dyDescent="0.35">
      <c r="B3" s="1" t="s">
        <v>2</v>
      </c>
      <c r="C3" s="1" t="s">
        <v>28</v>
      </c>
      <c r="D3" s="1" t="s">
        <v>26</v>
      </c>
      <c r="E3" s="1" t="s">
        <v>27</v>
      </c>
      <c r="G3" s="1" t="s">
        <v>26</v>
      </c>
      <c r="H3" s="3" t="s">
        <v>27</v>
      </c>
      <c r="J3" s="1" t="s">
        <v>26</v>
      </c>
      <c r="K3" s="1" t="s">
        <v>27</v>
      </c>
    </row>
    <row r="4" spans="2:11" x14ac:dyDescent="0.35">
      <c r="B4" t="s">
        <v>7</v>
      </c>
      <c r="C4" s="2" t="s">
        <v>30</v>
      </c>
      <c r="D4" s="2">
        <v>5171</v>
      </c>
      <c r="E4" s="2">
        <f t="shared" ref="E4:E10" si="0">VLOOKUP(D4,IF(C4="UK",Table1,Table2),2,TRUE)</f>
        <v>600</v>
      </c>
      <c r="G4" s="2">
        <v>0</v>
      </c>
      <c r="H4" s="2">
        <v>0</v>
      </c>
      <c r="J4" s="2">
        <v>0</v>
      </c>
      <c r="K4" s="2">
        <v>100</v>
      </c>
    </row>
    <row r="5" spans="2:11" x14ac:dyDescent="0.35">
      <c r="B5" t="s">
        <v>8</v>
      </c>
      <c r="C5" s="2" t="s">
        <v>30</v>
      </c>
      <c r="D5" s="2">
        <v>1381</v>
      </c>
      <c r="E5" s="2">
        <f t="shared" si="0"/>
        <v>0</v>
      </c>
      <c r="G5" s="2">
        <v>2000</v>
      </c>
      <c r="H5" s="2">
        <v>400</v>
      </c>
      <c r="J5" s="2">
        <v>5000</v>
      </c>
      <c r="K5" s="2">
        <v>1000</v>
      </c>
    </row>
    <row r="6" spans="2:11" x14ac:dyDescent="0.35">
      <c r="B6" t="s">
        <v>9</v>
      </c>
      <c r="C6" s="2" t="s">
        <v>29</v>
      </c>
      <c r="D6" s="2">
        <v>6272</v>
      </c>
      <c r="E6" s="2">
        <f t="shared" si="0"/>
        <v>1000</v>
      </c>
      <c r="G6" s="2">
        <v>4000</v>
      </c>
      <c r="H6" s="2">
        <v>600</v>
      </c>
      <c r="J6" s="2">
        <v>10000</v>
      </c>
      <c r="K6" s="2">
        <v>1500</v>
      </c>
    </row>
    <row r="7" spans="2:11" x14ac:dyDescent="0.35">
      <c r="B7" t="s">
        <v>10</v>
      </c>
      <c r="C7" s="2" t="s">
        <v>30</v>
      </c>
      <c r="D7" s="2">
        <v>9168</v>
      </c>
      <c r="E7" s="2">
        <f t="shared" si="0"/>
        <v>900</v>
      </c>
      <c r="G7" s="2">
        <v>6000</v>
      </c>
      <c r="H7" s="2">
        <v>700</v>
      </c>
    </row>
    <row r="8" spans="2:11" x14ac:dyDescent="0.35">
      <c r="B8" t="s">
        <v>11</v>
      </c>
      <c r="C8" s="2" t="s">
        <v>29</v>
      </c>
      <c r="D8" s="2">
        <v>10366</v>
      </c>
      <c r="E8" s="2">
        <f t="shared" si="0"/>
        <v>1500</v>
      </c>
      <c r="G8" s="2">
        <v>8000</v>
      </c>
      <c r="H8" s="2">
        <v>900</v>
      </c>
      <c r="J8" s="2"/>
      <c r="K8" s="2"/>
    </row>
    <row r="9" spans="2:11" x14ac:dyDescent="0.35">
      <c r="B9" t="s">
        <v>12</v>
      </c>
      <c r="C9" s="2" t="s">
        <v>30</v>
      </c>
      <c r="D9" s="2">
        <v>7375</v>
      </c>
      <c r="E9" s="2">
        <f t="shared" si="0"/>
        <v>700</v>
      </c>
      <c r="G9" s="2">
        <v>10000</v>
      </c>
      <c r="H9" s="2">
        <v>1100</v>
      </c>
      <c r="J9" s="2"/>
      <c r="K9" s="2"/>
    </row>
    <row r="10" spans="2:11" x14ac:dyDescent="0.35">
      <c r="B10" t="s">
        <v>13</v>
      </c>
      <c r="C10" s="2" t="s">
        <v>29</v>
      </c>
      <c r="D10" s="2">
        <v>4183</v>
      </c>
      <c r="E10" s="2">
        <f t="shared" si="0"/>
        <v>100</v>
      </c>
      <c r="J10" s="2"/>
      <c r="K10" s="2"/>
    </row>
    <row r="11" spans="2:11" x14ac:dyDescent="0.35">
      <c r="C11" s="2"/>
      <c r="D11" s="2"/>
      <c r="E11" s="2"/>
    </row>
    <row r="12" spans="2:11" x14ac:dyDescent="0.35">
      <c r="C12" s="2"/>
      <c r="D12" s="2"/>
      <c r="E12" s="2"/>
      <c r="J12">
        <f>VLOOKUP(D4,IF(C4="UK",Table1,Table2),2,TRUE)</f>
        <v>600</v>
      </c>
    </row>
  </sheetData>
  <mergeCells count="2">
    <mergeCell ref="G2:H2"/>
    <mergeCell ref="J2:K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Exact Match</vt:lpstr>
      <vt:lpstr>Approximate Match</vt:lpstr>
      <vt:lpstr>Vlookup Looks Right</vt:lpstr>
      <vt:lpstr>First Match</vt:lpstr>
      <vt:lpstr>Partial Match</vt:lpstr>
      <vt:lpstr>Vlookup is Case-insensitive</vt:lpstr>
      <vt:lpstr>Multiple Criteria</vt:lpstr>
      <vt:lpstr>#NA error</vt:lpstr>
      <vt:lpstr>Multiple Lookup Tables</vt:lpstr>
      <vt:lpstr>Table1</vt:lpstr>
      <vt:lpstr>Table2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femi anshidha</cp:lastModifiedBy>
  <dcterms:created xsi:type="dcterms:W3CDTF">2013-06-17T13:17:35Z</dcterms:created>
  <dcterms:modified xsi:type="dcterms:W3CDTF">2026-05-04T16:50:07Z</dcterms:modified>
</cp:coreProperties>
</file>