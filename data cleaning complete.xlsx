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1" documentId="13_ncr:1_{3BFE1F0F-D17F-4D00-A013-4AB56BD42C03}" xr6:coauthVersionLast="47" xr6:coauthVersionMax="47" xr10:uidLastSave="{E4955E34-49FD-44BF-BC1D-7B10B9E398A9}"/>
  <bookViews>
    <workbookView xWindow="-100" yWindow="-100" windowWidth="21467" windowHeight="11443" activeTab="1" xr2:uid="{2F228A27-A09A-4723-AE9F-93AE450FBC6C}"/>
  </bookViews>
  <sheets>
    <sheet name="Data Cleaning" sheetId="1" r:id="rId1"/>
    <sheet name="Text-to-column" sheetId="2" r:id="rId2"/>
    <sheet name="Flash-Fi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F13" i="1" a="1"/>
  <c r="F13" i="1" s="1"/>
  <c r="E13" i="1" a="1"/>
  <c r="E13" i="1" s="1"/>
  <c r="G7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 S I</author>
  </authors>
  <commentList>
    <comment ref="D1" authorId="0" shapeId="0" xr:uid="{C3635C30-B63E-45B1-B2E2-B11F9003175E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 3 letters of Name + Department + Year
eg: ANUHR2022</t>
        </r>
      </text>
    </comment>
    <comment ref="E1" authorId="0" shapeId="0" xr:uid="{9914428B-CAA4-45F4-A8D6-B988220226B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firstname.department@company.com
eg: anu.hr@company.com</t>
        </r>
      </text>
    </comment>
    <comment ref="G1" authorId="0" shapeId="0" xr:uid="{0BAA1D98-C067-4CE3-A715-A51C9B345A9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 Name + Initial of Last Name
eg: Anu Nair → Anu 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<sst xmlns="http://schemas.openxmlformats.org/spreadsheetml/2006/main" count="161" uniqueCount="113">
  <si>
    <t>Customer_ID</t>
  </si>
  <si>
    <t>Full_Name</t>
  </si>
  <si>
    <t>Phone</t>
  </si>
  <si>
    <t>Email</t>
  </si>
  <si>
    <t>City</t>
  </si>
  <si>
    <t>Product</t>
  </si>
  <si>
    <t>Quantity</t>
  </si>
  <si>
    <t>Price</t>
  </si>
  <si>
    <t>Order_Date</t>
  </si>
  <si>
    <t>C001</t>
  </si>
  <si>
    <t>Anu Nair</t>
  </si>
  <si>
    <t>anu@gmail.com</t>
  </si>
  <si>
    <t>Kochi</t>
  </si>
  <si>
    <t>Laptop</t>
  </si>
  <si>
    <t>C002</t>
  </si>
  <si>
    <t>Arjun Kumar</t>
  </si>
  <si>
    <t>arjun@gmail.com</t>
  </si>
  <si>
    <t>Calicut</t>
  </si>
  <si>
    <t>Mobile</t>
  </si>
  <si>
    <t>15-01-2024</t>
  </si>
  <si>
    <t>C004</t>
  </si>
  <si>
    <t>Meera Das</t>
  </si>
  <si>
    <t>meera@gmail.com</t>
  </si>
  <si>
    <t>Trivandrum</t>
  </si>
  <si>
    <t>Tablet</t>
  </si>
  <si>
    <t>C005</t>
  </si>
  <si>
    <t>Rahul P</t>
  </si>
  <si>
    <t>Headphones</t>
  </si>
  <si>
    <t>20-01-2024</t>
  </si>
  <si>
    <t>C006</t>
  </si>
  <si>
    <t>Faizal K</t>
  </si>
  <si>
    <t>faizal@gmail.com</t>
  </si>
  <si>
    <t>22-01-2024</t>
  </si>
  <si>
    <t>C007</t>
  </si>
  <si>
    <t>Sneha M</t>
  </si>
  <si>
    <t>sneha@gmail.com</t>
  </si>
  <si>
    <t>25-01-2024</t>
  </si>
  <si>
    <t>C008</t>
  </si>
  <si>
    <t>John Mathew</t>
  </si>
  <si>
    <t>john@gmail.com</t>
  </si>
  <si>
    <t>C010</t>
  </si>
  <si>
    <t>arjunk@gmail.com</t>
  </si>
  <si>
    <t>Address</t>
  </si>
  <si>
    <t>Kochi-Kerala- 682001</t>
  </si>
  <si>
    <t>Calicut- Kerala- 673001</t>
  </si>
  <si>
    <t>Trivandrum- Kerala- 695001</t>
  </si>
  <si>
    <t>Bangalore- Karnataka- 560001</t>
  </si>
  <si>
    <t>Chennai- Tamil Nadu- 600001</t>
  </si>
  <si>
    <t>Department</t>
  </si>
  <si>
    <t>Join_Date</t>
  </si>
  <si>
    <t>HR</t>
  </si>
  <si>
    <t>IT</t>
  </si>
  <si>
    <t>Finance</t>
  </si>
  <si>
    <t>Sales</t>
  </si>
  <si>
    <t>Akhil Raj</t>
  </si>
  <si>
    <t>Nisha Varma</t>
  </si>
  <si>
    <t>Vivek Nair</t>
  </si>
  <si>
    <t>Divya S</t>
  </si>
  <si>
    <t>Kiran Das</t>
  </si>
  <si>
    <t>Arya Menon</t>
  </si>
  <si>
    <t>Rohit P</t>
  </si>
  <si>
    <t>Fathima K</t>
  </si>
  <si>
    <t>Employee Code</t>
  </si>
  <si>
    <t>Official Email</t>
  </si>
  <si>
    <t>Joining Year</t>
  </si>
  <si>
    <t>Short Name</t>
  </si>
  <si>
    <t>25/03/2021</t>
  </si>
  <si>
    <t>19/11/2023</t>
  </si>
  <si>
    <t>30/05/2022</t>
  </si>
  <si>
    <t>14/09/2021</t>
  </si>
  <si>
    <t>22/02/2020</t>
  </si>
  <si>
    <t>18/08/2023</t>
  </si>
  <si>
    <t>27/06/2020</t>
  </si>
  <si>
    <t>21/07/2021</t>
  </si>
  <si>
    <t>16/03/2020</t>
  </si>
  <si>
    <t>Kerala</t>
  </si>
  <si>
    <t xml:space="preserve"> Kerala</t>
  </si>
  <si>
    <t>Bangalore</t>
  </si>
  <si>
    <t xml:space="preserve"> Karnataka</t>
  </si>
  <si>
    <t>Chennai</t>
  </si>
  <si>
    <t xml:space="preserve"> Tamil Nadu</t>
  </si>
  <si>
    <t>ANU.HR@COMBANY.COM</t>
  </si>
  <si>
    <t>ARJ.IT@COMBANY.COM</t>
  </si>
  <si>
    <t>MEE.Finance@COMBANY.COM</t>
  </si>
  <si>
    <t>RAH.Sales@COMBANY.COM</t>
  </si>
  <si>
    <t>SNE.HR@COMBANY.COM</t>
  </si>
  <si>
    <t>JOH.IT@COMBANY.COM</t>
  </si>
  <si>
    <t>FAI.Finance@COMBANY.COM</t>
  </si>
  <si>
    <t>AKH.Sales@COMBANY.COM</t>
  </si>
  <si>
    <t>NIS.HR@COMBANY.COM</t>
  </si>
  <si>
    <t>VIV.IT@COMBANY.COM</t>
  </si>
  <si>
    <t>DIV.Finance@COMBANY.COM</t>
  </si>
  <si>
    <t>KIR.Sales@COMBANY.COM</t>
  </si>
  <si>
    <t>ARY.HR@COMBANY.COM</t>
  </si>
  <si>
    <t>ROH.IT@COMBANY.COM</t>
  </si>
  <si>
    <t>FAT.Finance@COMBANY.COM</t>
  </si>
  <si>
    <t>UNKNOWN</t>
  </si>
  <si>
    <t xml:space="preserve">    Kochi</t>
  </si>
  <si>
    <t xml:space="preserve">Calicut    </t>
  </si>
  <si>
    <t xml:space="preserve"> Kochi</t>
  </si>
  <si>
    <t xml:space="preserve"> Anu N</t>
  </si>
  <si>
    <t>Arjun K</t>
  </si>
  <si>
    <t>Meera D</t>
  </si>
  <si>
    <t>John M</t>
  </si>
  <si>
    <t>Akhil R</t>
  </si>
  <si>
    <t>Nisha V</t>
  </si>
  <si>
    <t>Vivek N</t>
  </si>
  <si>
    <t>Kiran D</t>
  </si>
  <si>
    <t>Arya M</t>
  </si>
  <si>
    <t>TRIM</t>
  </si>
  <si>
    <t>CLEAN</t>
  </si>
  <si>
    <t>SUBSTITUTE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</si>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</sst>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ra@gmail.com" TargetMode="External"/><Relationship Id="rId7" Type="http://schemas.openxmlformats.org/officeDocument/2006/relationships/hyperlink" Target="mailto:arjunk@gmail.com" TargetMode="External"/><Relationship Id="rId2" Type="http://schemas.openxmlformats.org/officeDocument/2006/relationships/hyperlink" Target="mailto:arjun@gmail.com" TargetMode="External"/><Relationship Id="rId1" Type="http://schemas.openxmlformats.org/officeDocument/2006/relationships/hyperlink" Target="mailto:anu@gmail.com" TargetMode="External"/><Relationship Id="rId6" Type="http://schemas.openxmlformats.org/officeDocument/2006/relationships/hyperlink" Target="mailto:john@gmail.com" TargetMode="External"/><Relationship Id="rId5" Type="http://schemas.openxmlformats.org/officeDocument/2006/relationships/hyperlink" Target="mailto:sneha@gmail.com" TargetMode="External"/><Relationship Id="rId4" Type="http://schemas.openxmlformats.org/officeDocument/2006/relationships/hyperlink" Target="mailto:faizal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KH.Sales@COMBANY.COM" TargetMode="External"/><Relationship Id="rId13" Type="http://schemas.openxmlformats.org/officeDocument/2006/relationships/hyperlink" Target="mailto:ARY.HR@COMBANY.COM" TargetMode="External"/><Relationship Id="rId3" Type="http://schemas.openxmlformats.org/officeDocument/2006/relationships/hyperlink" Target="mailto:MEE.Finance@COMBANY.COM" TargetMode="External"/><Relationship Id="rId7" Type="http://schemas.openxmlformats.org/officeDocument/2006/relationships/hyperlink" Target="mailto:FAI.Finance@COMBANY.COM" TargetMode="External"/><Relationship Id="rId12" Type="http://schemas.openxmlformats.org/officeDocument/2006/relationships/hyperlink" Target="mailto:KIR.Sales@COMBANY.COM" TargetMode="External"/><Relationship Id="rId17" Type="http://schemas.openxmlformats.org/officeDocument/2006/relationships/comments" Target="../comments1.xml"/><Relationship Id="rId2" Type="http://schemas.openxmlformats.org/officeDocument/2006/relationships/hyperlink" Target="mailto:ARJ.IT@COMBANY.COM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mailto:ANU.HR@COMBANY.COM" TargetMode="External"/><Relationship Id="rId6" Type="http://schemas.openxmlformats.org/officeDocument/2006/relationships/hyperlink" Target="mailto:JOH.IT@COMBANY.COM" TargetMode="External"/><Relationship Id="rId11" Type="http://schemas.openxmlformats.org/officeDocument/2006/relationships/hyperlink" Target="mailto:DIV.Finance@COMBANY.COM" TargetMode="External"/><Relationship Id="rId5" Type="http://schemas.openxmlformats.org/officeDocument/2006/relationships/hyperlink" Target="mailto:SNE.HR@COMBANY.COM" TargetMode="External"/><Relationship Id="rId15" Type="http://schemas.openxmlformats.org/officeDocument/2006/relationships/hyperlink" Target="mailto:FAT.Finance@COMBANY.COM" TargetMode="External"/><Relationship Id="rId10" Type="http://schemas.openxmlformats.org/officeDocument/2006/relationships/hyperlink" Target="mailto:VIV.IT@COMBANY.COM" TargetMode="External"/><Relationship Id="rId4" Type="http://schemas.openxmlformats.org/officeDocument/2006/relationships/hyperlink" Target="mailto:RAH.Sales@COMBANY.COM" TargetMode="External"/><Relationship Id="rId9" Type="http://schemas.openxmlformats.org/officeDocument/2006/relationships/hyperlink" Target="mailto:NIS.HR@COMBANY.COM" TargetMode="External"/><Relationship Id="rId14" Type="http://schemas.openxmlformats.org/officeDocument/2006/relationships/hyperlink" Target="mailto:ROH.IT@COMB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7A40-605D-4DFB-BF82-8C20DE3E912D}">
  <dimension ref="A1:I20"/>
  <sheetViews>
    <sheetView topLeftCell="A7" zoomScale="119" zoomScaleNormal="203" workbookViewId="0">
      <selection activeCell="H14" sqref="H14"/>
    </sheetView>
  </sheetViews>
  <sheetFormatPr defaultRowHeight="14.4" x14ac:dyDescent="0.3"/>
  <cols>
    <col min="1" max="1" width="11.59765625" bestFit="1" customWidth="1"/>
    <col min="2" max="2" width="16.59765625" customWidth="1"/>
    <col min="3" max="3" width="13.796875" customWidth="1"/>
    <col min="4" max="4" width="19.19921875" customWidth="1"/>
    <col min="5" max="5" width="10.59765625" customWidth="1"/>
    <col min="6" max="6" width="11.796875" customWidth="1"/>
    <col min="7" max="7" width="11" customWidth="1"/>
    <col min="8" max="8" width="10.59765625" customWidth="1"/>
    <col min="9" max="9" width="11.79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4" t="s">
        <v>10</v>
      </c>
      <c r="C2" s="4">
        <v>9876543210</v>
      </c>
      <c r="D2" s="4" t="s">
        <v>11</v>
      </c>
      <c r="E2" s="4" t="s">
        <v>12</v>
      </c>
      <c r="F2" s="4" t="s">
        <v>13</v>
      </c>
      <c r="G2" s="4">
        <v>1</v>
      </c>
      <c r="H2" s="4">
        <v>55000</v>
      </c>
      <c r="I2" s="5">
        <v>45627</v>
      </c>
    </row>
    <row r="3" spans="1:9" x14ac:dyDescent="0.3">
      <c r="A3" s="4" t="s">
        <v>14</v>
      </c>
      <c r="B3" s="4" t="s">
        <v>15</v>
      </c>
      <c r="C3" s="4">
        <v>9876543211</v>
      </c>
      <c r="D3" s="4" t="s">
        <v>16</v>
      </c>
      <c r="E3" s="4" t="s">
        <v>17</v>
      </c>
      <c r="F3" s="4" t="s">
        <v>18</v>
      </c>
      <c r="G3" s="4">
        <v>2</v>
      </c>
      <c r="H3" s="4">
        <v>20000</v>
      </c>
      <c r="I3" s="4" t="s">
        <v>19</v>
      </c>
    </row>
    <row r="4" spans="1:9" x14ac:dyDescent="0.3">
      <c r="A4" s="4" t="s">
        <v>20</v>
      </c>
      <c r="B4" s="4" t="s">
        <v>21</v>
      </c>
      <c r="C4" s="4" t="s">
        <v>96</v>
      </c>
      <c r="D4" s="4" t="s">
        <v>22</v>
      </c>
      <c r="E4" s="4" t="s">
        <v>23</v>
      </c>
      <c r="F4" s="4" t="s">
        <v>24</v>
      </c>
      <c r="G4" s="4">
        <v>1</v>
      </c>
      <c r="H4" s="4">
        <v>15000</v>
      </c>
      <c r="I4" s="5">
        <v>45309</v>
      </c>
    </row>
    <row r="5" spans="1:9" x14ac:dyDescent="0.3">
      <c r="A5" s="4" t="s">
        <v>25</v>
      </c>
      <c r="B5" s="4" t="s">
        <v>26</v>
      </c>
      <c r="C5" s="4">
        <v>9876543213</v>
      </c>
      <c r="D5" s="4" t="s">
        <v>96</v>
      </c>
      <c r="E5" s="4" t="s">
        <v>12</v>
      </c>
      <c r="F5" s="4" t="s">
        <v>27</v>
      </c>
      <c r="G5" s="4">
        <v>3</v>
      </c>
      <c r="H5" s="4">
        <v>2000</v>
      </c>
      <c r="I5" s="4" t="s">
        <v>28</v>
      </c>
    </row>
    <row r="6" spans="1:9" x14ac:dyDescent="0.3">
      <c r="A6" s="4" t="s">
        <v>29</v>
      </c>
      <c r="B6" s="4" t="s">
        <v>30</v>
      </c>
      <c r="C6" s="4">
        <v>9876543214</v>
      </c>
      <c r="D6" s="4" t="s">
        <v>31</v>
      </c>
      <c r="E6" s="4" t="s">
        <v>12</v>
      </c>
      <c r="F6" s="4" t="s">
        <v>13</v>
      </c>
      <c r="G6" s="4">
        <v>1</v>
      </c>
      <c r="H6" s="4">
        <v>55000</v>
      </c>
      <c r="I6" s="4" t="s">
        <v>32</v>
      </c>
    </row>
    <row r="7" spans="1:9" x14ac:dyDescent="0.3">
      <c r="A7" s="4" t="s">
        <v>33</v>
      </c>
      <c r="B7" s="4" t="s">
        <v>34</v>
      </c>
      <c r="C7" s="4">
        <v>9876543215</v>
      </c>
      <c r="D7" s="4" t="s">
        <v>35</v>
      </c>
      <c r="E7" s="4" t="s">
        <v>17</v>
      </c>
      <c r="F7" s="4" t="s">
        <v>18</v>
      </c>
      <c r="G7" s="4">
        <f>AVERAGE(G2:G6)</f>
        <v>1.6</v>
      </c>
      <c r="H7" s="4">
        <v>20000</v>
      </c>
      <c r="I7" s="4" t="s">
        <v>36</v>
      </c>
    </row>
    <row r="8" spans="1:9" x14ac:dyDescent="0.3">
      <c r="A8" s="4" t="s">
        <v>37</v>
      </c>
      <c r="B8" s="4" t="s">
        <v>38</v>
      </c>
      <c r="C8" s="4">
        <v>9876543216</v>
      </c>
      <c r="D8" s="4" t="s">
        <v>39</v>
      </c>
      <c r="E8" s="4" t="s">
        <v>12</v>
      </c>
      <c r="F8" s="4" t="s">
        <v>13</v>
      </c>
      <c r="G8" s="4">
        <v>1</v>
      </c>
      <c r="H8" s="4">
        <v>55000</v>
      </c>
      <c r="I8" s="5">
        <v>45627</v>
      </c>
    </row>
    <row r="9" spans="1:9" x14ac:dyDescent="0.3">
      <c r="A9" s="4" t="s">
        <v>40</v>
      </c>
      <c r="B9" s="4" t="s">
        <v>15</v>
      </c>
      <c r="C9" s="4">
        <v>9876543211</v>
      </c>
      <c r="D9" s="4" t="s">
        <v>41</v>
      </c>
      <c r="E9" s="4" t="s">
        <v>17</v>
      </c>
      <c r="F9" s="4" t="s">
        <v>18</v>
      </c>
      <c r="G9" s="4">
        <v>2</v>
      </c>
      <c r="H9" s="4">
        <v>20000</v>
      </c>
      <c r="I9" s="4" t="s">
        <v>19</v>
      </c>
    </row>
    <row r="12" spans="1:9" x14ac:dyDescent="0.3">
      <c r="E12" t="s">
        <v>109</v>
      </c>
      <c r="F12" t="s">
        <v>110</v>
      </c>
      <c r="G12" t="s">
        <v>111</v>
      </c>
    </row>
    <row r="13" spans="1:9" x14ac:dyDescent="0.3">
      <c r="D13" s="4" t="s">
        <v>97</v>
      </c>
      <c r="E13" t="str" cm="1">
        <f t="array" ref="E13:E20">TRIM(D13:D20)</f>
        <v>Kochi</v>
      </c>
      <c r="F13" t="str" cm="1">
        <f t="array" ref="F13:F20">CLEAN(D13:D20)</f>
        <v xml:space="preserve">    Kochi</v>
      </c>
      <c r="G13" t="str">
        <f>SUBSTITUTE(D13,"Kochi","Ernakulam")</f>
        <v xml:space="preserve">    Ernakulam</v>
      </c>
    </row>
    <row r="14" spans="1:9" x14ac:dyDescent="0.3">
      <c r="D14" s="4" t="s">
        <v>98</v>
      </c>
      <c r="E14" t="str">
        <v>Calicut</v>
      </c>
      <c r="F14" t="str">
        <v xml:space="preserve">Calicut    </v>
      </c>
      <c r="G14" t="str">
        <f t="shared" ref="G14:G20" si="0">SUBSTITUTE(D14,"Kochi","Ernakulam")</f>
        <v xml:space="preserve">Calicut    </v>
      </c>
    </row>
    <row r="15" spans="1:9" x14ac:dyDescent="0.3">
      <c r="D15" s="4" t="s">
        <v>23</v>
      </c>
      <c r="E15" t="str">
        <v>Trivandrum</v>
      </c>
      <c r="F15" t="str">
        <v>Trivandrum</v>
      </c>
      <c r="G15" t="str">
        <f t="shared" si="0"/>
        <v>Trivandrum</v>
      </c>
    </row>
    <row r="16" spans="1:9" x14ac:dyDescent="0.3">
      <c r="D16" s="4" t="s">
        <v>99</v>
      </c>
      <c r="E16" t="str">
        <v>Kochi</v>
      </c>
      <c r="F16" t="str">
        <v xml:space="preserve"> Kochi</v>
      </c>
      <c r="G16" t="str">
        <f t="shared" si="0"/>
        <v xml:space="preserve"> Ernakulam</v>
      </c>
    </row>
    <row r="17" spans="4:7" x14ac:dyDescent="0.3">
      <c r="D17" s="4" t="s">
        <v>12</v>
      </c>
      <c r="E17" t="str">
        <v>Kochi</v>
      </c>
      <c r="F17" t="str">
        <v>Kochi</v>
      </c>
      <c r="G17" t="str">
        <f t="shared" si="0"/>
        <v>Ernakulam</v>
      </c>
    </row>
    <row r="18" spans="4:7" x14ac:dyDescent="0.3">
      <c r="D18" s="4" t="s">
        <v>17</v>
      </c>
      <c r="E18" t="str">
        <v>Calicut</v>
      </c>
      <c r="F18" t="str">
        <v>Calicut</v>
      </c>
      <c r="G18" t="str">
        <f t="shared" si="0"/>
        <v>Calicut</v>
      </c>
    </row>
    <row r="19" spans="4:7" x14ac:dyDescent="0.3">
      <c r="D19" s="4" t="s">
        <v>12</v>
      </c>
      <c r="E19" t="str">
        <v>Kochi</v>
      </c>
      <c r="F19" t="str">
        <v>Kochi</v>
      </c>
      <c r="G19" t="str">
        <f t="shared" si="0"/>
        <v>Ernakulam</v>
      </c>
    </row>
    <row r="20" spans="4:7" x14ac:dyDescent="0.3">
      <c r="D20" s="4" t="s">
        <v>17</v>
      </c>
      <c r="E20" t="str">
        <v>Calicut</v>
      </c>
      <c r="F20" t="str">
        <v>Calicut</v>
      </c>
      <c r="G20" t="str">
        <f t="shared" si="0"/>
        <v>Calicut</v>
      </c>
    </row>
  </sheetData>
  <hyperlinks>
    <hyperlink ref="A2" r:id="rId1" display="mailto:anu@gmail.com" xr:uid="{EF5E9C88-A26E-4334-9A4A-0D41C16515E3}"/>
    <hyperlink ref="A3" r:id="rId2" display="mailto:arjun@gmail.com" xr:uid="{F474FCF2-7346-48B7-9847-0441DA657D10}"/>
    <hyperlink ref="A4" r:id="rId3" display="mailto:meera@gmail.com" xr:uid="{64C6F619-872F-4094-ABCE-7242C038D12A}"/>
    <hyperlink ref="A6" r:id="rId4" display="mailto:faizal@gmail.com" xr:uid="{6F9B9134-2E04-4FC9-BE85-B0B8F54561B3}"/>
    <hyperlink ref="A7" r:id="rId5" display="mailto:sneha@gmail.com" xr:uid="{73CB775A-97BD-4EE6-A06A-043086536507}"/>
    <hyperlink ref="A8" r:id="rId6" display="mailto:john@gmail.com" xr:uid="{E10CC885-16C4-4589-A1E4-1A765107539B}"/>
    <hyperlink ref="A9" r:id="rId7" display="mailto:arjunk@gmail.com" xr:uid="{007A97B2-4872-4F2C-A2DC-CCA37703B0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4434-820A-4995-9CFB-A715BEBC5F24}">
  <dimension ref="A1:D8"/>
  <sheetViews>
    <sheetView tabSelected="1" zoomScale="170" zoomScaleNormal="170" workbookViewId="0">
      <selection activeCell="A2" sqref="A2:A6"/>
    </sheetView>
  </sheetViews>
  <sheetFormatPr defaultRowHeight="14.4" x14ac:dyDescent="0.3"/>
  <cols>
    <col min="1" max="1" width="31.19921875" customWidth="1"/>
    <col min="2" max="2" width="10.59765625" customWidth="1"/>
    <col min="3" max="3" width="12.09765625" customWidth="1"/>
  </cols>
  <sheetData>
    <row r="1" spans="1:4" x14ac:dyDescent="0.3">
      <c r="A1" s="2" t="s">
        <v>42</v>
      </c>
      <c r="B1" t="s">
        <v>12</v>
      </c>
      <c r="C1" t="s">
        <v>75</v>
      </c>
      <c r="D1">
        <v>682001</v>
      </c>
    </row>
    <row r="2" spans="1:4" x14ac:dyDescent="0.3">
      <c r="A2" t="s">
        <v>43</v>
      </c>
      <c r="B2" t="s">
        <v>17</v>
      </c>
      <c r="C2" t="s">
        <v>76</v>
      </c>
      <c r="D2">
        <v>673001</v>
      </c>
    </row>
    <row r="3" spans="1:4" x14ac:dyDescent="0.3">
      <c r="A3" t="s">
        <v>44</v>
      </c>
      <c r="B3" t="s">
        <v>23</v>
      </c>
      <c r="C3" t="s">
        <v>76</v>
      </c>
      <c r="D3">
        <v>695001</v>
      </c>
    </row>
    <row r="4" spans="1:4" x14ac:dyDescent="0.3">
      <c r="A4" t="s">
        <v>45</v>
      </c>
      <c r="B4" t="s">
        <v>77</v>
      </c>
      <c r="C4" t="s">
        <v>78</v>
      </c>
      <c r="D4">
        <v>560001</v>
      </c>
    </row>
    <row r="5" spans="1:4" x14ac:dyDescent="0.3">
      <c r="A5" t="s">
        <v>46</v>
      </c>
      <c r="B5" t="s">
        <v>79</v>
      </c>
      <c r="C5" t="s">
        <v>80</v>
      </c>
      <c r="D5">
        <v>600001</v>
      </c>
    </row>
    <row r="6" spans="1:4" x14ac:dyDescent="0.3">
      <c r="A6" t="s">
        <v>47</v>
      </c>
      <c r="B6" t="s">
        <v>79</v>
      </c>
      <c r="C6" t="s">
        <v>80</v>
      </c>
      <c r="D6">
        <v>600001</v>
      </c>
    </row>
    <row r="8" spans="1:4" x14ac:dyDescent="0.3">
      <c r="B8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DC95-B900-47F1-A34A-4A4CE6FD186F}">
  <dimension ref="A1:G16"/>
  <sheetViews>
    <sheetView zoomScale="99" zoomScaleNormal="99" workbookViewId="0">
      <selection activeCell="G2" sqref="G2"/>
    </sheetView>
  </sheetViews>
  <sheetFormatPr defaultRowHeight="14.4" x14ac:dyDescent="0.3"/>
  <cols>
    <col min="1" max="1" width="14.3984375" customWidth="1"/>
    <col min="2" max="2" width="13.8984375" customWidth="1"/>
    <col min="3" max="3" width="13.5" customWidth="1"/>
    <col min="4" max="4" width="20" customWidth="1"/>
    <col min="5" max="5" width="28" customWidth="1"/>
    <col min="6" max="6" width="13.796875" customWidth="1"/>
    <col min="7" max="7" width="13" customWidth="1"/>
  </cols>
  <sheetData>
    <row r="1" spans="1:7" x14ac:dyDescent="0.3">
      <c r="A1" s="2" t="s">
        <v>1</v>
      </c>
      <c r="B1" s="2" t="s">
        <v>48</v>
      </c>
      <c r="C1" s="2" t="s">
        <v>49</v>
      </c>
      <c r="D1" s="2" t="s">
        <v>62</v>
      </c>
      <c r="E1" s="2" t="s">
        <v>63</v>
      </c>
      <c r="F1" s="2" t="s">
        <v>64</v>
      </c>
      <c r="G1" s="2" t="s">
        <v>65</v>
      </c>
    </row>
    <row r="2" spans="1:7" x14ac:dyDescent="0.3">
      <c r="A2" t="s">
        <v>10</v>
      </c>
      <c r="B2" t="s">
        <v>50</v>
      </c>
      <c r="C2" s="6">
        <v>44896</v>
      </c>
      <c r="D2" t="str">
        <f>UPPER(LEFT(A2,3)&amp;B2&amp;YEAR(C2))</f>
        <v>ANUHR2022</v>
      </c>
      <c r="E2" s="1" t="s">
        <v>81</v>
      </c>
      <c r="F2">
        <v>2022</v>
      </c>
      <c r="G2" t="s">
        <v>100</v>
      </c>
    </row>
    <row r="3" spans="1:7" x14ac:dyDescent="0.3">
      <c r="A3" t="s">
        <v>15</v>
      </c>
      <c r="B3" t="s">
        <v>51</v>
      </c>
      <c r="C3" s="6" t="s">
        <v>66</v>
      </c>
      <c r="D3" t="str">
        <f t="shared" ref="D3:D16" si="0">UPPER(LEFT(A3,3)&amp;B3&amp;YEAR(C3))</f>
        <v>ARJIT2021</v>
      </c>
      <c r="E3" s="1" t="s">
        <v>82</v>
      </c>
      <c r="F3">
        <v>2021</v>
      </c>
      <c r="G3" t="s">
        <v>101</v>
      </c>
    </row>
    <row r="4" spans="1:7" x14ac:dyDescent="0.3">
      <c r="A4" t="s">
        <v>21</v>
      </c>
      <c r="B4" t="s">
        <v>52</v>
      </c>
      <c r="C4" s="6">
        <v>44019</v>
      </c>
      <c r="D4" t="str">
        <f t="shared" si="0"/>
        <v>MEEFINANCE2020</v>
      </c>
      <c r="E4" s="1" t="s">
        <v>83</v>
      </c>
      <c r="F4">
        <v>2020</v>
      </c>
      <c r="G4" t="s">
        <v>102</v>
      </c>
    </row>
    <row r="5" spans="1:7" x14ac:dyDescent="0.3">
      <c r="A5" t="s">
        <v>26</v>
      </c>
      <c r="B5" t="s">
        <v>53</v>
      </c>
      <c r="C5" s="6" t="s">
        <v>67</v>
      </c>
      <c r="D5" t="str">
        <f t="shared" si="0"/>
        <v>RAHSALES2023</v>
      </c>
      <c r="E5" s="1" t="s">
        <v>84</v>
      </c>
      <c r="F5">
        <v>2023</v>
      </c>
      <c r="G5" t="s">
        <v>26</v>
      </c>
    </row>
    <row r="6" spans="1:7" x14ac:dyDescent="0.3">
      <c r="A6" t="s">
        <v>34</v>
      </c>
      <c r="B6" t="s">
        <v>50</v>
      </c>
      <c r="C6" s="6" t="s">
        <v>68</v>
      </c>
      <c r="D6" t="str">
        <f t="shared" si="0"/>
        <v>SNEHR2022</v>
      </c>
      <c r="E6" s="1" t="s">
        <v>85</v>
      </c>
      <c r="F6">
        <v>2022</v>
      </c>
      <c r="G6" t="s">
        <v>34</v>
      </c>
    </row>
    <row r="7" spans="1:7" x14ac:dyDescent="0.3">
      <c r="A7" t="s">
        <v>38</v>
      </c>
      <c r="B7" t="s">
        <v>51</v>
      </c>
      <c r="C7" s="6" t="s">
        <v>69</v>
      </c>
      <c r="D7" t="str">
        <f t="shared" si="0"/>
        <v>JOHIT2021</v>
      </c>
      <c r="E7" s="1" t="s">
        <v>86</v>
      </c>
      <c r="F7">
        <v>2021</v>
      </c>
      <c r="G7" t="s">
        <v>103</v>
      </c>
    </row>
    <row r="8" spans="1:7" x14ac:dyDescent="0.3">
      <c r="A8" t="s">
        <v>30</v>
      </c>
      <c r="B8" t="s">
        <v>52</v>
      </c>
      <c r="C8" s="6" t="s">
        <v>70</v>
      </c>
      <c r="D8" t="str">
        <f t="shared" si="0"/>
        <v>FAIFINANCE2020</v>
      </c>
      <c r="E8" s="1" t="s">
        <v>87</v>
      </c>
      <c r="F8">
        <v>2020</v>
      </c>
      <c r="G8" t="s">
        <v>30</v>
      </c>
    </row>
    <row r="9" spans="1:7" x14ac:dyDescent="0.3">
      <c r="A9" t="s">
        <v>54</v>
      </c>
      <c r="B9" t="s">
        <v>53</v>
      </c>
      <c r="C9" s="6" t="s">
        <v>71</v>
      </c>
      <c r="D9" t="str">
        <f t="shared" si="0"/>
        <v>AKHSALES2023</v>
      </c>
      <c r="E9" s="1" t="s">
        <v>88</v>
      </c>
      <c r="F9">
        <v>2023</v>
      </c>
      <c r="G9" t="s">
        <v>104</v>
      </c>
    </row>
    <row r="10" spans="1:7" x14ac:dyDescent="0.3">
      <c r="A10" t="s">
        <v>55</v>
      </c>
      <c r="B10" t="s">
        <v>50</v>
      </c>
      <c r="C10" s="6">
        <v>44693</v>
      </c>
      <c r="D10" t="str">
        <f t="shared" si="0"/>
        <v>NISHR2022</v>
      </c>
      <c r="E10" s="1" t="s">
        <v>89</v>
      </c>
      <c r="F10">
        <v>2022</v>
      </c>
      <c r="G10" t="s">
        <v>105</v>
      </c>
    </row>
    <row r="11" spans="1:7" x14ac:dyDescent="0.3">
      <c r="A11" t="s">
        <v>56</v>
      </c>
      <c r="B11" t="s">
        <v>51</v>
      </c>
      <c r="C11" s="6">
        <v>44443</v>
      </c>
      <c r="D11" t="str">
        <f t="shared" si="0"/>
        <v>VIVIT2021</v>
      </c>
      <c r="E11" s="1" t="s">
        <v>90</v>
      </c>
      <c r="F11">
        <v>2021</v>
      </c>
      <c r="G11" t="s">
        <v>106</v>
      </c>
    </row>
    <row r="12" spans="1:7" x14ac:dyDescent="0.3">
      <c r="A12" t="s">
        <v>57</v>
      </c>
      <c r="B12" t="s">
        <v>52</v>
      </c>
      <c r="C12" s="6" t="s">
        <v>72</v>
      </c>
      <c r="D12" t="str">
        <f t="shared" si="0"/>
        <v>DIVFINANCE2020</v>
      </c>
      <c r="E12" s="1" t="s">
        <v>91</v>
      </c>
      <c r="F12">
        <v>2020</v>
      </c>
      <c r="G12" t="s">
        <v>57</v>
      </c>
    </row>
    <row r="13" spans="1:7" x14ac:dyDescent="0.3">
      <c r="A13" t="s">
        <v>58</v>
      </c>
      <c r="B13" t="s">
        <v>53</v>
      </c>
      <c r="C13" s="6">
        <v>45240</v>
      </c>
      <c r="D13" t="str">
        <f t="shared" si="0"/>
        <v>KIRSALES2023</v>
      </c>
      <c r="E13" s="1" t="s">
        <v>92</v>
      </c>
      <c r="F13">
        <v>2023</v>
      </c>
      <c r="G13" t="s">
        <v>107</v>
      </c>
    </row>
    <row r="14" spans="1:7" x14ac:dyDescent="0.3">
      <c r="A14" t="s">
        <v>59</v>
      </c>
      <c r="B14" t="s">
        <v>50</v>
      </c>
      <c r="C14" s="6">
        <v>44621</v>
      </c>
      <c r="D14" t="str">
        <f t="shared" si="0"/>
        <v>ARYHR2022</v>
      </c>
      <c r="E14" s="1" t="s">
        <v>93</v>
      </c>
      <c r="F14">
        <v>2022</v>
      </c>
      <c r="G14" t="s">
        <v>108</v>
      </c>
    </row>
    <row r="15" spans="1:7" x14ac:dyDescent="0.3">
      <c r="A15" t="s">
        <v>60</v>
      </c>
      <c r="B15" t="s">
        <v>51</v>
      </c>
      <c r="C15" s="6" t="s">
        <v>73</v>
      </c>
      <c r="D15" t="str">
        <f t="shared" si="0"/>
        <v>ROHIT2021</v>
      </c>
      <c r="E15" s="1" t="s">
        <v>94</v>
      </c>
      <c r="F15">
        <v>2021</v>
      </c>
      <c r="G15" t="s">
        <v>60</v>
      </c>
    </row>
    <row r="16" spans="1:7" x14ac:dyDescent="0.3">
      <c r="A16" t="s">
        <v>61</v>
      </c>
      <c r="B16" t="s">
        <v>52</v>
      </c>
      <c r="C16" s="6" t="s">
        <v>74</v>
      </c>
      <c r="D16" t="str">
        <f t="shared" si="0"/>
        <v>FATFINANCE2020</v>
      </c>
      <c r="E16" s="1" t="s">
        <v>95</v>
      </c>
      <c r="F16">
        <v>2020</v>
      </c>
      <c r="G16" t="s">
        <v>61</v>
      </c>
    </row>
  </sheetData>
  <phoneticPr fontId="2" type="noConversion"/>
  <hyperlinks>
    <hyperlink ref="E2" r:id="rId1" xr:uid="{38FC5D0A-A248-400C-BFB8-4E995D30F4F1}"/>
    <hyperlink ref="E3" r:id="rId2" xr:uid="{4E9121B7-053F-40AB-87B5-6CAF5A041A40}"/>
    <hyperlink ref="E4" r:id="rId3" xr:uid="{8CAC242D-B4FA-4BC0-A0F2-DBAF26EB60A6}"/>
    <hyperlink ref="E5" r:id="rId4" xr:uid="{E3F9C4ED-2C69-40C4-86CF-6BC9D8EF30BB}"/>
    <hyperlink ref="E6" r:id="rId5" xr:uid="{A09014A8-717E-4AC1-A089-BB573AFA5706}"/>
    <hyperlink ref="E7" r:id="rId6" xr:uid="{9DC44CAC-E1D8-45FD-A02B-4815093CBA34}"/>
    <hyperlink ref="E8" r:id="rId7" xr:uid="{B532CADE-3ED3-41A0-99D8-BEB1BFDA68AB}"/>
    <hyperlink ref="E9" r:id="rId8" xr:uid="{85689BA2-DE07-4D5D-BBE9-7FA80DCD97DD}"/>
    <hyperlink ref="E10" r:id="rId9" xr:uid="{0C6669EB-EFB9-4993-AFAC-C06FB549A6E9}"/>
    <hyperlink ref="E11" r:id="rId10" xr:uid="{DB3A0398-48FB-4582-8D28-11A17232AF6D}"/>
    <hyperlink ref="E12" r:id="rId11" xr:uid="{5F8265E7-8A61-49FD-B770-D9464DAD7954}"/>
    <hyperlink ref="E13" r:id="rId12" xr:uid="{BB06634E-DB2A-43B4-AD96-EFA7D769EDD7}"/>
    <hyperlink ref="E14" r:id="rId13" xr:uid="{932A8F44-B5DD-4CB4-94B2-80D52949D2E8}"/>
    <hyperlink ref="E15" r:id="rId14" xr:uid="{58C27A44-9FC6-4FF4-B928-6D9FFBA0EEFB}"/>
    <hyperlink ref="E16" r:id="rId15" xr:uid="{E1E20391-6894-48A2-A72A-FE5DBBBD8528}"/>
  </hyperlinks>
  <pageMargins left="0.7" right="0.7" top="0.75" bottom="0.75" header="0.3" footer="0.3"/>
  <legacy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Cleaning</vt:lpstr>
      <vt:lpstr>Text-to-column</vt:lpstr>
      <vt:lpstr>Flash-Fill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Haneesha Thasni</dc:creator>
  <cp:lastModifiedBy>femi anshidha</cp:lastModifiedBy>
  <dcterms:created xsi:type="dcterms:W3CDTF">2026-04-25T09:00:41Z</dcterms:created>
  <dcterms:modified xsi:type="dcterms:W3CDTF">2026-06-24T07:37:02Z</dcterms:modified>
</cp:coreProperties>
</file>